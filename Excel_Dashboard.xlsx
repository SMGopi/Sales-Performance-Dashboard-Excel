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D:\excel\"/>
    </mc:Choice>
  </mc:AlternateContent>
  <xr:revisionPtr revIDLastSave="0" documentId="13_ncr:1_{087282DC-0E34-4F31-8515-ABC8CC1D942C}" xr6:coauthVersionLast="47" xr6:coauthVersionMax="47" xr10:uidLastSave="{00000000-0000-0000-0000-000000000000}"/>
  <bookViews>
    <workbookView xWindow="-120" yWindow="-120" windowWidth="20730" windowHeight="11760" activeTab="2" xr2:uid="{44384FCC-0F0F-4FB7-87F3-889F6709FD7A}"/>
  </bookViews>
  <sheets>
    <sheet name="RAW" sheetId="1" r:id="rId1"/>
    <sheet name="Pivot" sheetId="2" r:id="rId2"/>
    <sheet name="Dashboard" sheetId="3" r:id="rId3"/>
  </sheets>
  <definedNames>
    <definedName name="Slicer_Item">#N/A</definedName>
    <definedName name="Slicer_Months__Date">#N/A</definedName>
    <definedName name="Slicer_Region">#N/A</definedName>
  </definedNames>
  <calcPr calcId="191029"/>
  <pivotCaches>
    <pivotCache cacheId="1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4" i="2" l="1"/>
  <c r="B5" i="2"/>
</calcChain>
</file>

<file path=xl/sharedStrings.xml><?xml version="1.0" encoding="utf-8"?>
<sst xmlns="http://schemas.openxmlformats.org/spreadsheetml/2006/main" count="1553" uniqueCount="47">
  <si>
    <t>Sl No</t>
  </si>
  <si>
    <t>Date</t>
  </si>
  <si>
    <t>Customer</t>
  </si>
  <si>
    <t>Region</t>
  </si>
  <si>
    <t>Item</t>
  </si>
  <si>
    <t>Qty</t>
  </si>
  <si>
    <t>Price</t>
  </si>
  <si>
    <t>Amount</t>
  </si>
  <si>
    <t>Maria Angelica</t>
  </si>
  <si>
    <t>West</t>
  </si>
  <si>
    <t>USB Drive</t>
  </si>
  <si>
    <t>Lukas MÃ¼ller</t>
  </si>
  <si>
    <t>East</t>
  </si>
  <si>
    <t>Charger</t>
  </si>
  <si>
    <t>Mohammad Ali</t>
  </si>
  <si>
    <t>Pen Set</t>
  </si>
  <si>
    <t>Chair</t>
  </si>
  <si>
    <t>Ava Jenkins</t>
  </si>
  <si>
    <t>North</t>
  </si>
  <si>
    <t>Ethan Lee</t>
  </si>
  <si>
    <t>Desk Lamp</t>
  </si>
  <si>
    <t>Olivia Brown</t>
  </si>
  <si>
    <t>Notebook</t>
  </si>
  <si>
    <t>Ramesh Kumar</t>
  </si>
  <si>
    <t>Yui Nakamura</t>
  </si>
  <si>
    <t>Emily Johnson</t>
  </si>
  <si>
    <t>Fatima Al Mak</t>
  </si>
  <si>
    <t>South</t>
  </si>
  <si>
    <t>Backpack</t>
  </si>
  <si>
    <t>Row Labels</t>
  </si>
  <si>
    <t>Grand Total</t>
  </si>
  <si>
    <t>Sum of Amount</t>
  </si>
  <si>
    <t>Jan</t>
  </si>
  <si>
    <t>Feb</t>
  </si>
  <si>
    <t>Mar</t>
  </si>
  <si>
    <t>Apr</t>
  </si>
  <si>
    <t>May</t>
  </si>
  <si>
    <t>Jun</t>
  </si>
  <si>
    <t>Jul</t>
  </si>
  <si>
    <t>Aug</t>
  </si>
  <si>
    <t>Sep</t>
  </si>
  <si>
    <t>Oct</t>
  </si>
  <si>
    <t>Nov</t>
  </si>
  <si>
    <t>Dec</t>
  </si>
  <si>
    <t>Sum of Qty</t>
  </si>
  <si>
    <t>Total Revenue</t>
  </si>
  <si>
    <t>Total Quantity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</si>
</sst>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1" formatCode="&quot;₹&quot;\ #,##0,&quot;K&quot;"/>
  </numFmts>
  <fonts count="3" x14ac:knownFonts="1">
    <font>
      <sz val="11"/>
      <color theme="1"/>
      <name val="Aptos Narrow"/>
      <family val="2"/>
      <scheme val="minor"/>
    </font>
    <font>
      <b/>
      <sz val="11"/>
      <color theme="1"/>
      <name val="Aptos Narrow"/>
      <family val="2"/>
      <scheme val="minor"/>
    </font>
    <font>
      <b/>
      <sz val="11"/>
      <color theme="1"/>
      <name val="Aptos Slab Black"/>
      <family val="2"/>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0" fillId="0" borderId="1" xfId="0" applyBorder="1" applyAlignment="1">
      <alignment horizontal="center" vertical="center"/>
    </xf>
    <xf numFmtId="0" fontId="2" fillId="0" borderId="0" xfId="0" applyFont="1"/>
    <xf numFmtId="0" fontId="1" fillId="2" borderId="1" xfId="0" applyFont="1" applyFill="1" applyBorder="1" applyAlignment="1">
      <alignment horizontal="center" vertical="center"/>
    </xf>
    <xf numFmtId="171" fontId="0" fillId="0" borderId="1" xfId="0" applyNumberFormat="1" applyBorder="1" applyAlignment="1">
      <alignment horizontal="center" vertical="center"/>
    </xf>
    <xf numFmtId="0" fontId="0" fillId="0" borderId="0" xfId="0" pivotButton="1" applyNumberFormat="1"/>
    <xf numFmtId="0" fontId="0" fillId="0" borderId="0" xfId="0" applyNumberFormat="1" applyAlignment="1">
      <alignment horizontal="left"/>
    </xf>
  </cellXfs>
  <cellStyles count="1">
    <cellStyle name="Normal" xfId="0" builtinId="0"/>
  </cellStyles>
  <dxfs count="420">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171" formatCode="&quot;₹&quot;\ #,##0,&quot;K&quot;"/>
    </dxf>
    <dxf>
      <numFmt numFmtId="171" formatCode="&quot;₹&quot;\ #,##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71" formatCode="&quot;₹&quot;\ #,##0,&quot;K&quot;"/>
    </dxf>
    <dxf>
      <numFmt numFmtId="0" formatCode="General"/>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71" formatCode="&quot;₹&quot;\ #,##0,&quot;K&quot;"/>
    </dxf>
    <dxf>
      <numFmt numFmtId="19" formatCode="dd/mm/yyyy"/>
    </dxf>
  </dxfs>
  <tableStyles count="0" defaultTableStyle="TableStyleMedium2" defaultPivotStyle="PivotStyleLight16"/>
  <colors>
    <mruColors>
      <color rgb="FFFAD6A5"/>
      <color rgb="FFF5F5DC"/>
      <color rgb="FFE3E3CF"/>
      <color rgb="FFC19A6B"/>
      <color rgb="FFDCDF5F"/>
      <color rgb="FFCCCC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[Excel_Dashboard.xlsx]Pivot!PivotTable4</c:name>
    <c:fmtId val="3"/>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IN" baseline="0">
                <a:solidFill>
                  <a:schemeClr val="tx1"/>
                </a:solidFill>
              </a:rPr>
              <a:t>Monthly Sales Trends </a:t>
            </a:r>
          </a:p>
        </c:rich>
      </c:tx>
      <c:layout>
        <c:manualLayout>
          <c:xMode val="edge"/>
          <c:yMode val="edge"/>
          <c:x val="0.25257272192681157"/>
          <c:y val="2.9817606126919497E-3"/>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3.2844714261706605E-2"/>
          <c:y val="0.19354641134712539"/>
          <c:w val="0.92877304220647083"/>
          <c:h val="0.69932370089521212"/>
        </c:manualLayout>
      </c:layout>
      <c:barChart>
        <c:barDir val="col"/>
        <c:grouping val="clustered"/>
        <c:varyColors val="0"/>
        <c:ser>
          <c:idx val="0"/>
          <c:order val="0"/>
          <c:tx>
            <c:strRef>
              <c:f>Pivot!$E$4</c:f>
              <c:strCache>
                <c:ptCount val="1"/>
                <c:pt idx="0">
                  <c:v>Total</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Pivot!$D$5:$D$17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Pivot!$E$5:$E$17</c:f>
              <c:numCache>
                <c:formatCode>"₹"\ #,##0,"K"</c:formatCode>
                <c:ptCount val="12"/>
                <c:pt idx="0">
                  <c:v>230570</c:v>
                </c:pt>
                <c:pt idx="1">
                  <c:v>89480</c:v>
                </c:pt>
                <c:pt idx="2">
                  <c:v>150260</c:v>
                </c:pt>
                <c:pt idx="3">
                  <c:v>98900</c:v>
                </c:pt>
                <c:pt idx="4">
                  <c:v>169830</c:v>
                </c:pt>
                <c:pt idx="5">
                  <c:v>94070</c:v>
                </c:pt>
                <c:pt idx="6">
                  <c:v>275520</c:v>
                </c:pt>
                <c:pt idx="7">
                  <c:v>358160</c:v>
                </c:pt>
                <c:pt idx="8">
                  <c:v>280170</c:v>
                </c:pt>
                <c:pt idx="9">
                  <c:v>242850</c:v>
                </c:pt>
                <c:pt idx="10">
                  <c:v>216970</c:v>
                </c:pt>
                <c:pt idx="11">
                  <c:v>414070</c:v>
                </c:pt>
              </c:numCache>
            </c:numRef>
          </c:val>
          <c:extLst>
            <c:ext xmlns:c16="http://schemas.microsoft.com/office/drawing/2014/chart" uri="{C3380CC4-5D6E-409C-BE32-E72D297353CC}">
              <c16:uniqueId val="{00000000-7095-410B-9977-4F63D26F56CF}"/>
            </c:ext>
          </c:extLst>
        </c:ser>
        <c:dLbls>
          <c:showLegendKey val="0"/>
          <c:showVal val="0"/>
          <c:showCatName val="0"/>
          <c:showSerName val="0"/>
          <c:showPercent val="0"/>
          <c:showBubbleSize val="0"/>
        </c:dLbls>
        <c:gapWidth val="100"/>
        <c:overlap val="-24"/>
        <c:axId val="285211520"/>
        <c:axId val="296818288"/>
      </c:barChart>
      <c:catAx>
        <c:axId val="2852115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296818288"/>
        <c:crosses val="autoZero"/>
        <c:auto val="1"/>
        <c:lblAlgn val="ctr"/>
        <c:lblOffset val="100"/>
        <c:noMultiLvlLbl val="0"/>
      </c:catAx>
      <c:valAx>
        <c:axId val="296818288"/>
        <c:scaling>
          <c:orientation val="minMax"/>
        </c:scaling>
        <c:delete val="1"/>
        <c:axPos val="l"/>
        <c:numFmt formatCode="&quot;₹&quot;\ #,##0,&quot;K&quot;" sourceLinked="1"/>
        <c:majorTickMark val="none"/>
        <c:minorTickMark val="none"/>
        <c:tickLblPos val="nextTo"/>
        <c:crossAx val="285211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[Excel_Dashboard.xlsx]Pivot!PivotTable5</c:name>
    <c:fmtId val="3"/>
  </c:pivotSource>
  <c:chart>
    <c:title>
      <c:tx>
        <c:rich>
          <a:bodyPr rot="0" spcFirstLastPara="1" vertOverflow="ellipsis" vert="horz" wrap="square" anchor="ctr" anchorCtr="1"/>
          <a:lstStyle/>
          <a:p>
            <a:pPr>
              <a:defRPr sz="1140" b="1" i="0" u="none" strike="noStrike" kern="1200" baseline="0">
                <a:solidFill>
                  <a:schemeClr val="tx1"/>
                </a:solidFill>
                <a:latin typeface="+mn-lt"/>
                <a:ea typeface="+mn-ea"/>
                <a:cs typeface="+mn-cs"/>
              </a:defRPr>
            </a:pPr>
            <a:r>
              <a:rPr lang="en-US"/>
              <a:t>Sales By Product </a:t>
            </a:r>
          </a:p>
        </c:rich>
      </c:tx>
      <c:layout>
        <c:manualLayout>
          <c:xMode val="edge"/>
          <c:yMode val="edge"/>
          <c:x val="0.33474695792882958"/>
          <c:y val="4.3601708121317952E-2"/>
        </c:manualLayout>
      </c:layout>
      <c:overlay val="0"/>
      <c:spPr>
        <a:noFill/>
        <a:ln>
          <a:noFill/>
        </a:ln>
        <a:effectLst/>
      </c:spPr>
      <c:txPr>
        <a:bodyPr rot="0" spcFirstLastPara="1" vertOverflow="ellipsis" vert="horz" wrap="square" anchor="ctr" anchorCtr="1"/>
        <a:lstStyle/>
        <a:p>
          <a:pPr>
            <a:defRPr sz="114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outerShdw blurRad="57150" dist="19050" dir="5400000" algn="ctr" rotWithShape="0">
              <a:srgbClr val="000000">
                <a:alpha val="63000"/>
              </a:srgbClr>
            </a:outerShdw>
          </a:effectLst>
        </c:spPr>
        <c:dLbl>
          <c:idx val="0"/>
          <c:layout>
            <c:manualLayout>
              <c:x val="2.9986051630546732E-3"/>
              <c:y val="-9.9159693172320377E-3"/>
            </c:manualLayout>
          </c:layout>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800567743758055"/>
          <c:y val="0.16589176550962903"/>
          <c:w val="0.79223285733623405"/>
          <c:h val="0.83185235893522469"/>
        </c:manualLayout>
      </c:layout>
      <c:barChart>
        <c:barDir val="bar"/>
        <c:grouping val="clustered"/>
        <c:varyColors val="0"/>
        <c:ser>
          <c:idx val="0"/>
          <c:order val="0"/>
          <c:tx>
            <c:strRef>
              <c:f>Pivot!$B$27</c:f>
              <c:strCache>
                <c:ptCount val="1"/>
                <c:pt idx="0">
                  <c:v>Total</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dLbls>
            <c:dLbl>
              <c:idx val="0"/>
              <c:layout>
                <c:manualLayout>
                  <c:x val="2.9986051630546732E-3"/>
                  <c:y val="-9.915969317232037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0D8-4509-A917-D7E06C363195}"/>
                </c:ext>
              </c:extLst>
            </c:dLbl>
            <c:dLbl>
              <c:idx val="6"/>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0D8-4509-A917-D7E06C363195}"/>
                </c:ext>
              </c:extLst>
            </c:dLbl>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Pivot!$A$28:$A$35</c:f>
              <c:strCache>
                <c:ptCount val="7"/>
                <c:pt idx="0">
                  <c:v>Backpack</c:v>
                </c:pt>
                <c:pt idx="1">
                  <c:v>Chair</c:v>
                </c:pt>
                <c:pt idx="2">
                  <c:v>Charger</c:v>
                </c:pt>
                <c:pt idx="3">
                  <c:v>Desk Lamp</c:v>
                </c:pt>
                <c:pt idx="4">
                  <c:v>Notebook</c:v>
                </c:pt>
                <c:pt idx="5">
                  <c:v>Pen Set</c:v>
                </c:pt>
                <c:pt idx="6">
                  <c:v>USB Drive</c:v>
                </c:pt>
              </c:strCache>
            </c:strRef>
          </c:cat>
          <c:val>
            <c:numRef>
              <c:f>Pivot!$B$28:$B$35</c:f>
              <c:numCache>
                <c:formatCode>"₹"\ #,##0,"K"</c:formatCode>
                <c:ptCount val="7"/>
                <c:pt idx="0">
                  <c:v>332960</c:v>
                </c:pt>
                <c:pt idx="1">
                  <c:v>379200</c:v>
                </c:pt>
                <c:pt idx="2">
                  <c:v>394760</c:v>
                </c:pt>
                <c:pt idx="3">
                  <c:v>396790</c:v>
                </c:pt>
                <c:pt idx="4">
                  <c:v>233300</c:v>
                </c:pt>
                <c:pt idx="5">
                  <c:v>465690</c:v>
                </c:pt>
                <c:pt idx="6">
                  <c:v>418150</c:v>
                </c:pt>
              </c:numCache>
            </c:numRef>
          </c:val>
          <c:extLst>
            <c:ext xmlns:c16="http://schemas.microsoft.com/office/drawing/2014/chart" uri="{C3380CC4-5D6E-409C-BE32-E72D297353CC}">
              <c16:uniqueId val="{00000000-F0D8-4509-A917-D7E06C363195}"/>
            </c:ext>
          </c:extLst>
        </c:ser>
        <c:dLbls>
          <c:dLblPos val="outEnd"/>
          <c:showLegendKey val="0"/>
          <c:showVal val="1"/>
          <c:showCatName val="0"/>
          <c:showSerName val="0"/>
          <c:showPercent val="0"/>
          <c:showBubbleSize val="0"/>
        </c:dLbls>
        <c:gapWidth val="115"/>
        <c:overlap val="-20"/>
        <c:axId val="328358816"/>
        <c:axId val="296865328"/>
      </c:barChart>
      <c:catAx>
        <c:axId val="32835881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296865328"/>
        <c:crosses val="autoZero"/>
        <c:auto val="1"/>
        <c:lblAlgn val="ctr"/>
        <c:lblOffset val="100"/>
        <c:noMultiLvlLbl val="0"/>
      </c:catAx>
      <c:valAx>
        <c:axId val="296865328"/>
        <c:scaling>
          <c:orientation val="minMax"/>
        </c:scaling>
        <c:delete val="1"/>
        <c:axPos val="b"/>
        <c:numFmt formatCode="&quot;₹&quot;\ #,##0,&quot;K&quot;" sourceLinked="1"/>
        <c:majorTickMark val="none"/>
        <c:minorTickMark val="none"/>
        <c:tickLblPos val="nextTo"/>
        <c:crossAx val="32835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sz="950" b="1" i="0" baseline="0">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[Excel_Dashboard.xlsx]Pivot!PivotTable1</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baseline="0">
                <a:solidFill>
                  <a:schemeClr val="tx1"/>
                </a:solidFill>
              </a:rPr>
              <a:t>Total Revenue By Region </a:t>
            </a:r>
          </a:p>
        </c:rich>
      </c:tx>
      <c:layout>
        <c:manualLayout>
          <c:xMode val="edge"/>
          <c:yMode val="edge"/>
          <c:x val="0.16419993448260167"/>
          <c:y val="4.692594577502724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Pivot!$B$9</c:f>
              <c:strCache>
                <c:ptCount val="1"/>
                <c:pt idx="0">
                  <c:v>Total</c:v>
                </c:pt>
              </c:strCache>
            </c:strRef>
          </c:tx>
          <c:spPr>
            <a:solidFill>
              <a:schemeClr val="accent2">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Pivot!$A$10:$A$13</c:f>
              <c:strCache>
                <c:ptCount val="3"/>
                <c:pt idx="0">
                  <c:v>East</c:v>
                </c:pt>
                <c:pt idx="1">
                  <c:v>North</c:v>
                </c:pt>
                <c:pt idx="2">
                  <c:v>West</c:v>
                </c:pt>
              </c:strCache>
            </c:strRef>
          </c:cat>
          <c:val>
            <c:numRef>
              <c:f>Pivot!$B$10:$B$13</c:f>
              <c:numCache>
                <c:formatCode>"₹"\ #,##0,"K"</c:formatCode>
                <c:ptCount val="3"/>
                <c:pt idx="0">
                  <c:v>779410</c:v>
                </c:pt>
                <c:pt idx="1">
                  <c:v>666900</c:v>
                </c:pt>
                <c:pt idx="2">
                  <c:v>1174540</c:v>
                </c:pt>
              </c:numCache>
            </c:numRef>
          </c:val>
          <c:extLst>
            <c:ext xmlns:c16="http://schemas.microsoft.com/office/drawing/2014/chart" uri="{C3380CC4-5D6E-409C-BE32-E72D297353CC}">
              <c16:uniqueId val="{00000000-CEA1-4F7C-BF8F-8010FB51F372}"/>
            </c:ext>
          </c:extLst>
        </c:ser>
        <c:dLbls>
          <c:dLblPos val="outEnd"/>
          <c:showLegendKey val="0"/>
          <c:showVal val="1"/>
          <c:showCatName val="0"/>
          <c:showSerName val="0"/>
          <c:showPercent val="0"/>
          <c:showBubbleSize val="0"/>
        </c:dLbls>
        <c:gapWidth val="100"/>
        <c:overlap val="-24"/>
        <c:axId val="330026816"/>
        <c:axId val="296879728"/>
      </c:barChart>
      <c:catAx>
        <c:axId val="330026816"/>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50" b="1" i="0" u="none" strike="noStrike" kern="1200" baseline="0">
                <a:solidFill>
                  <a:schemeClr val="tx1"/>
                </a:solidFill>
                <a:latin typeface="+mn-lt"/>
                <a:ea typeface="+mn-ea"/>
                <a:cs typeface="+mn-cs"/>
              </a:defRPr>
            </a:pPr>
            <a:endParaRPr lang="en-US"/>
          </a:p>
        </c:txPr>
        <c:crossAx val="296879728"/>
        <c:crosses val="autoZero"/>
        <c:auto val="1"/>
        <c:lblAlgn val="ctr"/>
        <c:lblOffset val="100"/>
        <c:noMultiLvlLbl val="0"/>
      </c:catAx>
      <c:valAx>
        <c:axId val="296879728"/>
        <c:scaling>
          <c:orientation val="minMax"/>
        </c:scaling>
        <c:delete val="1"/>
        <c:axPos val="l"/>
        <c:numFmt formatCode="&quot;₹&quot;\ #,##0,&quot;K&quot;" sourceLinked="1"/>
        <c:majorTickMark val="out"/>
        <c:minorTickMark val="none"/>
        <c:tickLblPos val="nextTo"/>
        <c:crossAx val="33002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[Excel_Dashboard.xlsx]Pivot!PivotTable9</c:name>
    <c:fmtId val="19"/>
  </c:pivotSource>
  <c:chart>
    <c:title>
      <c:tx>
        <c:rich>
          <a:bodyPr rot="0" spcFirstLastPara="1" vertOverflow="ellipsis" vert="horz" wrap="square" anchor="ctr" anchorCtr="1"/>
          <a:lstStyle/>
          <a:p>
            <a:pPr algn="ctr" rtl="0">
              <a:defRPr lang="en-IN" sz="1600" b="1" i="0" u="none" strike="noStrike" kern="1200" cap="all" spc="50" baseline="0">
                <a:solidFill>
                  <a:schemeClr val="tx1"/>
                </a:solidFill>
                <a:latin typeface="+mn-lt"/>
                <a:ea typeface="+mn-ea"/>
                <a:cs typeface="+mn-cs"/>
              </a:defRPr>
            </a:pPr>
            <a:r>
              <a:rPr lang="en-IN" sz="1600" b="1" i="0" u="none" strike="noStrike" kern="1200" baseline="0">
                <a:solidFill>
                  <a:schemeClr val="tx1"/>
                </a:solidFill>
                <a:latin typeface="+mn-lt"/>
                <a:ea typeface="+mn-ea"/>
                <a:cs typeface="+mn-cs"/>
              </a:rPr>
              <a:t>pRODUCT SOLD BY REGION</a:t>
            </a:r>
          </a:p>
        </c:rich>
      </c:tx>
      <c:overlay val="0"/>
      <c:spPr>
        <a:noFill/>
        <a:ln>
          <a:noFill/>
        </a:ln>
        <a:effectLst/>
      </c:spPr>
      <c:txPr>
        <a:bodyPr rot="0" spcFirstLastPara="1" vertOverflow="ellipsis" vert="horz" wrap="square" anchor="ctr" anchorCtr="1"/>
        <a:lstStyle/>
        <a:p>
          <a:pPr algn="ctr" rtl="0">
            <a:defRPr lang="en-IN" sz="1600" b="1" i="0" u="none" strike="noStrike" kern="1200" cap="all" spc="5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60000"/>
              <a:lumOff val="40000"/>
            </a:schemeClr>
          </a:solidFill>
          <a:ln>
            <a:noFill/>
          </a:ln>
          <a:effectLst>
            <a:innerShdw blurRad="114300">
              <a:schemeClr val="accent2">
                <a:lumMod val="75000"/>
              </a:schemeClr>
            </a:innerShdw>
          </a:effectLst>
        </c:spPr>
        <c:marker>
          <c:symbol val="circle"/>
          <c:size val="6"/>
          <c:spPr>
            <a:solidFill>
              <a:schemeClr val="accent2">
                <a:lumMod val="60000"/>
                <a:lumOff val="40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a:noFill/>
          </a:ln>
          <a:effectLst>
            <a:innerShdw blurRad="114300">
              <a:schemeClr val="accent2">
                <a:lumMod val="75000"/>
              </a:schemeClr>
            </a:innerShdw>
          </a:effectLst>
        </c:spPr>
        <c:dLbl>
          <c:idx val="0"/>
          <c:layout>
            <c:manualLayout>
              <c:x val="-5.217907651467988E-2"/>
              <c:y val="-1.260273836665545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60000"/>
              <a:lumOff val="40000"/>
            </a:schemeClr>
          </a:solidFill>
          <a:ln>
            <a:noFill/>
          </a:ln>
          <a:effectLst>
            <a:innerShdw blurRad="114300">
              <a:schemeClr val="accent2">
                <a:lumMod val="75000"/>
              </a:schemeClr>
            </a:innerShdw>
          </a:effectLst>
        </c:spPr>
        <c:dLbl>
          <c:idx val="0"/>
          <c:layout>
            <c:manualLayout>
              <c:x val="4.3940274959730422E-2"/>
              <c:y val="3.150684591663834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9024456698610585E-2"/>
          <c:y val="0.27884550977828609"/>
          <c:w val="0.90994881779684933"/>
          <c:h val="0.53811424613589964"/>
        </c:manualLayout>
      </c:layout>
      <c:areaChart>
        <c:grouping val="standard"/>
        <c:varyColors val="0"/>
        <c:ser>
          <c:idx val="0"/>
          <c:order val="0"/>
          <c:tx>
            <c:strRef>
              <c:f>Pivot!$L$4</c:f>
              <c:strCache>
                <c:ptCount val="1"/>
                <c:pt idx="0">
                  <c:v>Total</c:v>
                </c:pt>
              </c:strCache>
            </c:strRef>
          </c:tx>
          <c:spPr>
            <a:solidFill>
              <a:schemeClr val="accent2">
                <a:lumMod val="60000"/>
                <a:lumOff val="40000"/>
              </a:schemeClr>
            </a:solidFill>
            <a:ln>
              <a:noFill/>
            </a:ln>
            <a:effectLst>
              <a:innerShdw blurRad="114300">
                <a:schemeClr val="accent2">
                  <a:lumMod val="75000"/>
                </a:schemeClr>
              </a:innerShdw>
            </a:effectLst>
          </c:spPr>
          <c:dLbls>
            <c:dLbl>
              <c:idx val="0"/>
              <c:layout>
                <c:manualLayout>
                  <c:x val="4.3940274959730422E-2"/>
                  <c:y val="3.15068459166383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C82-4EDC-B6F4-4B1416AE4CAB}"/>
                </c:ext>
              </c:extLst>
            </c:dLbl>
            <c:dLbl>
              <c:idx val="2"/>
              <c:layout>
                <c:manualLayout>
                  <c:x val="-5.217907651467988E-2"/>
                  <c:y val="-1.2602738366655453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50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Pivot!$K$5:$K$8</c:f>
              <c:strCache>
                <c:ptCount val="3"/>
                <c:pt idx="0">
                  <c:v>East</c:v>
                </c:pt>
                <c:pt idx="1">
                  <c:v>North</c:v>
                </c:pt>
                <c:pt idx="2">
                  <c:v>West</c:v>
                </c:pt>
              </c:strCache>
            </c:strRef>
          </c:cat>
          <c:val>
            <c:numRef>
              <c:f>Pivot!$L$5:$L$8</c:f>
              <c:numCache>
                <c:formatCode>General</c:formatCode>
                <c:ptCount val="3"/>
                <c:pt idx="0">
                  <c:v>667</c:v>
                </c:pt>
                <c:pt idx="1">
                  <c:v>682</c:v>
                </c:pt>
                <c:pt idx="2">
                  <c:v>670</c:v>
                </c:pt>
              </c:numCache>
            </c:numRef>
          </c:val>
          <c:extLst>
            <c:ext xmlns:c16="http://schemas.microsoft.com/office/drawing/2014/chart" uri="{C3380CC4-5D6E-409C-BE32-E72D297353CC}">
              <c16:uniqueId val="{00000000-7C82-4EDC-B6F4-4B1416AE4CAB}"/>
            </c:ext>
          </c:extLst>
        </c:ser>
        <c:dLbls>
          <c:showLegendKey val="0"/>
          <c:showVal val="1"/>
          <c:showCatName val="0"/>
          <c:showSerName val="0"/>
          <c:showPercent val="0"/>
          <c:showBubbleSize val="0"/>
        </c:dLbls>
        <c:axId val="329986448"/>
        <c:axId val="296861488"/>
      </c:areaChart>
      <c:catAx>
        <c:axId val="3299864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20" normalizeH="0" baseline="0">
                <a:solidFill>
                  <a:schemeClr val="tx1">
                    <a:lumMod val="65000"/>
                    <a:lumOff val="35000"/>
                  </a:schemeClr>
                </a:solidFill>
                <a:latin typeface="+mn-lt"/>
                <a:ea typeface="+mn-ea"/>
                <a:cs typeface="+mn-cs"/>
              </a:defRPr>
            </a:pPr>
            <a:endParaRPr lang="en-US"/>
          </a:p>
        </c:txPr>
        <c:crossAx val="296861488"/>
        <c:crosses val="autoZero"/>
        <c:auto val="1"/>
        <c:lblAlgn val="ctr"/>
        <c:lblOffset val="100"/>
        <c:noMultiLvlLbl val="0"/>
      </c:catAx>
      <c:valAx>
        <c:axId val="296861488"/>
        <c:scaling>
          <c:orientation val="minMax"/>
        </c:scaling>
        <c:delete val="1"/>
        <c:axPos val="l"/>
        <c:numFmt formatCode="General" sourceLinked="1"/>
        <c:majorTickMark val="out"/>
        <c:minorTickMark val="none"/>
        <c:tickLblPos val="nextTo"/>
        <c:crossAx val="329986448"/>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withinLinear" id="15">
  <a:schemeClr val="accent2"/>
</cs:colorStyle>
</file>

<file path=xl/charts/colors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84">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ap="none" spc="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cs:styleClr val="auto">
        <a:lumMod val="50000"/>
      </cs:styleClr>
    </cs:fontRef>
    <cs:defRPr sz="10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
  <cs:dataPoint3D>
    <cs:lnRef idx="0"/>
    <cs:fillRef idx="0">
      <cs:styleClr val="auto"/>
    </cs:fillRef>
    <cs:effectRef idx="0">
      <cs:styleClr val="auto"/>
    </cs:effectRef>
    <cs:fontRef idx="minor">
      <a:schemeClr val="tx1"/>
    </cs:fontRef>
    <cs:spPr>
      <a:solidFill>
        <a:schemeClr val="phClr">
          <a:alpha val="74000"/>
        </a:schemeClr>
      </a:solidFill>
      <a:effectLst>
        <a:innerShdw blurRad="114300">
          <a:schemeClr val="phClr">
            <a:lumMod val="75000"/>
          </a:schemeClr>
        </a:innerShdw>
      </a:effectLst>
    </cs:spPr>
  </cs:dataPoint3D>
  <cs:dataPointLine>
    <cs:lnRef idx="0">
      <cs:styleClr val="auto"/>
    </cs:lnRef>
    <cs:fillRef idx="0"/>
    <cs:effectRef idx="0"/>
    <cs:fontRef idx="minor">
      <a:schemeClr val="dk1"/>
    </cs:fontRef>
    <cs:spPr>
      <a:ln w="28575" cap="rnd">
        <a:solidFill>
          <a:schemeClr val="phClr">
            <a:alpha val="70000"/>
          </a:schemeClr>
        </a:solidFill>
        <a:round/>
      </a:ln>
    </cs:spPr>
  </cs:dataPointLine>
  <cs:dataPointMarker>
    <cs:lnRef idx="0"/>
    <cs:fillRef idx="0">
      <cs:styleClr val="auto"/>
    </cs:fillRef>
    <cs:effectRef idx="0"/>
    <cs:fontRef idx="minor">
      <a:schemeClr val="dk1"/>
    </cs:fontRef>
    <cs:spPr>
      <a:solidFill>
        <a:schemeClr val="phClr">
          <a:alpha val="70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593586</xdr:colOff>
      <xdr:row>2</xdr:row>
      <xdr:rowOff>43324</xdr:rowOff>
    </xdr:from>
    <xdr:to>
      <xdr:col>19</xdr:col>
      <xdr:colOff>26478</xdr:colOff>
      <xdr:row>32</xdr:row>
      <xdr:rowOff>124240</xdr:rowOff>
    </xdr:to>
    <xdr:sp macro="" textlink="">
      <xdr:nvSpPr>
        <xdr:cNvPr id="2" name="Rectangle: Rounded Corners 1">
          <a:extLst>
            <a:ext uri="{FF2B5EF4-FFF2-40B4-BE49-F238E27FC236}">
              <a16:creationId xmlns:a16="http://schemas.microsoft.com/office/drawing/2014/main" id="{8ABC3ACE-1685-C472-49F7-07318FDD0F6B}"/>
            </a:ext>
          </a:extLst>
        </xdr:cNvPr>
        <xdr:cNvSpPr/>
      </xdr:nvSpPr>
      <xdr:spPr>
        <a:xfrm>
          <a:off x="593586" y="429846"/>
          <a:ext cx="10973327" cy="5878742"/>
        </a:xfrm>
        <a:prstGeom prst="roundRect">
          <a:avLst>
            <a:gd name="adj" fmla="val 5136"/>
          </a:avLst>
        </a:prstGeom>
        <a:solidFill>
          <a:schemeClr val="accent2">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1100"/>
        </a:p>
      </xdr:txBody>
    </xdr:sp>
    <xdr:clientData/>
  </xdr:twoCellAnchor>
  <xdr:twoCellAnchor>
    <xdr:from>
      <xdr:col>1</xdr:col>
      <xdr:colOff>139447</xdr:colOff>
      <xdr:row>17</xdr:row>
      <xdr:rowOff>138043</xdr:rowOff>
    </xdr:from>
    <xdr:to>
      <xdr:col>7</xdr:col>
      <xdr:colOff>345107</xdr:colOff>
      <xdr:row>31</xdr:row>
      <xdr:rowOff>147230</xdr:rowOff>
    </xdr:to>
    <xdr:graphicFrame macro="">
      <xdr:nvGraphicFramePr>
        <xdr:cNvPr id="10" name="Chart 9">
          <a:extLst>
            <a:ext uri="{FF2B5EF4-FFF2-40B4-BE49-F238E27FC236}">
              <a16:creationId xmlns:a16="http://schemas.microsoft.com/office/drawing/2014/main" id="{EE2757B6-756F-4A54-A2ED-458ED8AFEA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470571</xdr:colOff>
      <xdr:row>17</xdr:row>
      <xdr:rowOff>110436</xdr:rowOff>
    </xdr:from>
    <xdr:to>
      <xdr:col>13</xdr:col>
      <xdr:colOff>276087</xdr:colOff>
      <xdr:row>31</xdr:row>
      <xdr:rowOff>144939</xdr:rowOff>
    </xdr:to>
    <xdr:graphicFrame macro="">
      <xdr:nvGraphicFramePr>
        <xdr:cNvPr id="11" name="Chart 10">
          <a:extLst>
            <a:ext uri="{FF2B5EF4-FFF2-40B4-BE49-F238E27FC236}">
              <a16:creationId xmlns:a16="http://schemas.microsoft.com/office/drawing/2014/main" id="{006EC612-EFB8-4827-AB68-495F0FC464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386523</xdr:colOff>
      <xdr:row>17</xdr:row>
      <xdr:rowOff>124239</xdr:rowOff>
    </xdr:from>
    <xdr:to>
      <xdr:col>18</xdr:col>
      <xdr:colOff>455545</xdr:colOff>
      <xdr:row>32</xdr:row>
      <xdr:rowOff>13803</xdr:rowOff>
    </xdr:to>
    <xdr:graphicFrame macro="">
      <xdr:nvGraphicFramePr>
        <xdr:cNvPr id="12" name="Chart 11">
          <a:extLst>
            <a:ext uri="{FF2B5EF4-FFF2-40B4-BE49-F238E27FC236}">
              <a16:creationId xmlns:a16="http://schemas.microsoft.com/office/drawing/2014/main" id="{C9E60E92-2201-4920-9FD8-023E302B42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58097</xdr:colOff>
      <xdr:row>3</xdr:row>
      <xdr:rowOff>82825</xdr:rowOff>
    </xdr:from>
    <xdr:to>
      <xdr:col>7</xdr:col>
      <xdr:colOff>493881</xdr:colOff>
      <xdr:row>13</xdr:row>
      <xdr:rowOff>55218</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ADF316BB-63B7-40F5-8247-1D0B93F4DE0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095054" y="662608"/>
              <a:ext cx="1650566" cy="1905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138046</xdr:colOff>
      <xdr:row>13</xdr:row>
      <xdr:rowOff>138043</xdr:rowOff>
    </xdr:from>
    <xdr:to>
      <xdr:col>18</xdr:col>
      <xdr:colOff>414131</xdr:colOff>
      <xdr:row>17</xdr:row>
      <xdr:rowOff>55217</xdr:rowOff>
    </xdr:to>
    <mc:AlternateContent xmlns:mc="http://schemas.openxmlformats.org/markup-compatibility/2006">
      <mc:Choice xmlns:a14="http://schemas.microsoft.com/office/drawing/2010/main" Requires="a14">
        <xdr:graphicFrame macro="">
          <xdr:nvGraphicFramePr>
            <xdr:cNvPr id="14" name="Item">
              <a:extLst>
                <a:ext uri="{FF2B5EF4-FFF2-40B4-BE49-F238E27FC236}">
                  <a16:creationId xmlns:a16="http://schemas.microsoft.com/office/drawing/2014/main" id="{4B069824-2D3C-4D19-A4A2-41F6737C3AAE}"/>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dr:sp macro="" textlink="">
          <xdr:nvSpPr>
            <xdr:cNvPr id="0" name=""/>
            <xdr:cNvSpPr>
              <a:spLocks noTextEdit="1"/>
            </xdr:cNvSpPr>
          </xdr:nvSpPr>
          <xdr:spPr>
            <a:xfrm>
              <a:off x="745437" y="2650434"/>
              <a:ext cx="10601737" cy="690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110437</xdr:colOff>
      <xdr:row>3</xdr:row>
      <xdr:rowOff>124238</xdr:rowOff>
    </xdr:from>
    <xdr:to>
      <xdr:col>4</xdr:col>
      <xdr:colOff>538371</xdr:colOff>
      <xdr:row>7</xdr:row>
      <xdr:rowOff>125195</xdr:rowOff>
    </xdr:to>
    <xdr:sp macro="" textlink="">
      <xdr:nvSpPr>
        <xdr:cNvPr id="22" name="Rectangle: Rounded Corners 21">
          <a:extLst>
            <a:ext uri="{FF2B5EF4-FFF2-40B4-BE49-F238E27FC236}">
              <a16:creationId xmlns:a16="http://schemas.microsoft.com/office/drawing/2014/main" id="{B0724B30-EFDE-8249-56B9-1A10A9811672}"/>
            </a:ext>
          </a:extLst>
        </xdr:cNvPr>
        <xdr:cNvSpPr/>
      </xdr:nvSpPr>
      <xdr:spPr>
        <a:xfrm>
          <a:off x="717828" y="704021"/>
          <a:ext cx="2250108" cy="774000"/>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a:solidFill>
                <a:schemeClr val="tx1"/>
              </a:solidFill>
              <a:latin typeface="Times New Roman" panose="02020603050405020304" pitchFamily="18" charset="0"/>
              <a:cs typeface="Times New Roman" panose="02020603050405020304" pitchFamily="18" charset="0"/>
            </a:rPr>
            <a:t>Toal</a:t>
          </a:r>
          <a:r>
            <a:rPr lang="en-IN" sz="2400" b="1" baseline="0">
              <a:solidFill>
                <a:schemeClr val="tx1"/>
              </a:solidFill>
              <a:latin typeface="Times New Roman" panose="02020603050405020304" pitchFamily="18" charset="0"/>
              <a:cs typeface="Times New Roman" panose="02020603050405020304" pitchFamily="18" charset="0"/>
            </a:rPr>
            <a:t> Revenue </a:t>
          </a:r>
          <a:endParaRPr lang="en-IN"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552173</xdr:colOff>
      <xdr:row>5</xdr:row>
      <xdr:rowOff>151847</xdr:rowOff>
    </xdr:from>
    <xdr:to>
      <xdr:col>4</xdr:col>
      <xdr:colOff>0</xdr:colOff>
      <xdr:row>7</xdr:row>
      <xdr:rowOff>55217</xdr:rowOff>
    </xdr:to>
    <xdr:sp macro="" textlink="Pivot!B4">
      <xdr:nvSpPr>
        <xdr:cNvPr id="23" name="TextBox 22">
          <a:extLst>
            <a:ext uri="{FF2B5EF4-FFF2-40B4-BE49-F238E27FC236}">
              <a16:creationId xmlns:a16="http://schemas.microsoft.com/office/drawing/2014/main" id="{3B5E8AFD-297E-1760-9B3B-FE301912A7F5}"/>
            </a:ext>
          </a:extLst>
        </xdr:cNvPr>
        <xdr:cNvSpPr txBox="1"/>
      </xdr:nvSpPr>
      <xdr:spPr>
        <a:xfrm>
          <a:off x="1159564" y="1118151"/>
          <a:ext cx="1270001" cy="289892"/>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0830F6B-299F-4E21-811C-AF7F69F4C1D0}" type="TxLink">
            <a:rPr lang="en-US" sz="2000" b="1" i="0" u="none" strike="noStrike">
              <a:solidFill>
                <a:schemeClr val="tx1"/>
              </a:solidFill>
              <a:latin typeface="Times New Roman" panose="02020603050405020304" pitchFamily="18" charset="0"/>
              <a:ea typeface="+mn-ea"/>
              <a:cs typeface="Times New Roman" panose="02020603050405020304" pitchFamily="18" charset="0"/>
            </a:rPr>
            <a:pPr marL="0" indent="0" algn="ctr"/>
            <a:t>₹ 2,621K</a:t>
          </a:fld>
          <a:endParaRPr lang="en-US" sz="2000" b="1"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1</xdr:col>
      <xdr:colOff>51942</xdr:colOff>
      <xdr:row>8</xdr:row>
      <xdr:rowOff>123059</xdr:rowOff>
    </xdr:from>
    <xdr:to>
      <xdr:col>4</xdr:col>
      <xdr:colOff>479877</xdr:colOff>
      <xdr:row>12</xdr:row>
      <xdr:rowOff>124239</xdr:rowOff>
    </xdr:to>
    <xdr:sp macro="" textlink="">
      <xdr:nvSpPr>
        <xdr:cNvPr id="25" name="Rectangle: Rounded Corners 24">
          <a:extLst>
            <a:ext uri="{FF2B5EF4-FFF2-40B4-BE49-F238E27FC236}">
              <a16:creationId xmlns:a16="http://schemas.microsoft.com/office/drawing/2014/main" id="{E80B432F-EC84-44C9-B2E5-3235198B710E}"/>
            </a:ext>
          </a:extLst>
        </xdr:cNvPr>
        <xdr:cNvSpPr/>
      </xdr:nvSpPr>
      <xdr:spPr>
        <a:xfrm>
          <a:off x="659333" y="1669146"/>
          <a:ext cx="2250109" cy="774223"/>
        </a:xfrm>
        <a:prstGeom prst="round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b="1" baseline="0">
              <a:solidFill>
                <a:schemeClr val="tx1"/>
              </a:solidFill>
              <a:latin typeface="Times New Roman" panose="02020603050405020304" pitchFamily="18" charset="0"/>
              <a:cs typeface="Times New Roman" panose="02020603050405020304" pitchFamily="18" charset="0"/>
            </a:rPr>
            <a:t>TotalQuantity</a:t>
          </a:r>
        </a:p>
        <a:p>
          <a:pPr algn="ctr"/>
          <a:endParaRPr lang="en-IN" sz="2400" b="1" baseline="0">
            <a:solidFill>
              <a:schemeClr val="tx1"/>
            </a:solidFill>
            <a:latin typeface="Times New Roman" panose="02020603050405020304" pitchFamily="18" charset="0"/>
            <a:cs typeface="Times New Roman" panose="02020603050405020304" pitchFamily="18" charset="0"/>
          </a:endParaRPr>
        </a:p>
        <a:p>
          <a:pPr algn="ctr"/>
          <a:r>
            <a:rPr lang="en-IN" sz="2400" b="1" baseline="0">
              <a:solidFill>
                <a:schemeClr val="tx1"/>
              </a:solidFill>
              <a:latin typeface="Times New Roman" panose="02020603050405020304" pitchFamily="18" charset="0"/>
              <a:cs typeface="Times New Roman" panose="02020603050405020304" pitchFamily="18" charset="0"/>
            </a:rPr>
            <a:t> </a:t>
          </a:r>
          <a:endParaRPr lang="en-IN" sz="2400" b="1">
            <a:solidFill>
              <a:schemeClr val="tx1"/>
            </a:solidFill>
            <a:latin typeface="Times New Roman" panose="02020603050405020304" pitchFamily="18" charset="0"/>
            <a:cs typeface="Times New Roman" panose="02020603050405020304" pitchFamily="18" charset="0"/>
          </a:endParaRPr>
        </a:p>
      </xdr:txBody>
    </xdr:sp>
    <xdr:clientData/>
  </xdr:twoCellAnchor>
  <xdr:twoCellAnchor>
    <xdr:from>
      <xdr:col>1</xdr:col>
      <xdr:colOff>579784</xdr:colOff>
      <xdr:row>10</xdr:row>
      <xdr:rowOff>179456</xdr:rowOff>
    </xdr:from>
    <xdr:to>
      <xdr:col>3</xdr:col>
      <xdr:colOff>331304</xdr:colOff>
      <xdr:row>12</xdr:row>
      <xdr:rowOff>69022</xdr:rowOff>
    </xdr:to>
    <xdr:sp macro="" textlink="Pivot!B5">
      <xdr:nvSpPr>
        <xdr:cNvPr id="26" name="TextBox 25">
          <a:extLst>
            <a:ext uri="{FF2B5EF4-FFF2-40B4-BE49-F238E27FC236}">
              <a16:creationId xmlns:a16="http://schemas.microsoft.com/office/drawing/2014/main" id="{446CB8F4-B1A8-0C60-0941-B5459424CB79}"/>
            </a:ext>
          </a:extLst>
        </xdr:cNvPr>
        <xdr:cNvSpPr txBox="1"/>
      </xdr:nvSpPr>
      <xdr:spPr>
        <a:xfrm>
          <a:off x="1187175" y="2112065"/>
          <a:ext cx="966303" cy="276087"/>
        </a:xfrm>
        <a:prstGeom prst="rect">
          <a:avLst/>
        </a:prstGeom>
        <a:solidFill>
          <a:schemeClr val="accent2">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CC0873-C4E4-41A1-ADFA-6F4108335606}" type="TxLink">
            <a:rPr lang="en-US" sz="2000" b="1" i="0" u="none" strike="noStrike">
              <a:solidFill>
                <a:schemeClr val="tx1"/>
              </a:solidFill>
              <a:latin typeface="Times New Roman" panose="02020603050405020304" pitchFamily="18" charset="0"/>
              <a:ea typeface="+mn-ea"/>
              <a:cs typeface="Times New Roman" panose="02020603050405020304" pitchFamily="18" charset="0"/>
            </a:rPr>
            <a:pPr marL="0" indent="0" algn="ctr"/>
            <a:t>2019</a:t>
          </a:fld>
          <a:endParaRPr lang="en-IN" sz="2000" b="1" i="0" u="none" strike="noStrike">
            <a:solidFill>
              <a:schemeClr val="tx1"/>
            </a:solidFill>
            <a:latin typeface="Times New Roman" panose="02020603050405020304" pitchFamily="18" charset="0"/>
            <a:ea typeface="+mn-ea"/>
            <a:cs typeface="Times New Roman" panose="02020603050405020304" pitchFamily="18" charset="0"/>
          </a:endParaRPr>
        </a:p>
      </xdr:txBody>
    </xdr:sp>
    <xdr:clientData/>
  </xdr:twoCellAnchor>
  <xdr:twoCellAnchor>
    <xdr:from>
      <xdr:col>7</xdr:col>
      <xdr:colOff>607389</xdr:colOff>
      <xdr:row>2</xdr:row>
      <xdr:rowOff>151847</xdr:rowOff>
    </xdr:from>
    <xdr:to>
      <xdr:col>15</xdr:col>
      <xdr:colOff>372717</xdr:colOff>
      <xdr:row>13</xdr:row>
      <xdr:rowOff>41413</xdr:rowOff>
    </xdr:to>
    <xdr:graphicFrame macro="">
      <xdr:nvGraphicFramePr>
        <xdr:cNvPr id="34" name="Chart 33">
          <a:extLst>
            <a:ext uri="{FF2B5EF4-FFF2-40B4-BE49-F238E27FC236}">
              <a16:creationId xmlns:a16="http://schemas.microsoft.com/office/drawing/2014/main" id="{99E4AB5A-5794-4E47-A6BB-4B34121B83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565976</xdr:colOff>
      <xdr:row>2</xdr:row>
      <xdr:rowOff>165652</xdr:rowOff>
    </xdr:from>
    <xdr:to>
      <xdr:col>18</xdr:col>
      <xdr:colOff>414131</xdr:colOff>
      <xdr:row>13</xdr:row>
      <xdr:rowOff>69021</xdr:rowOff>
    </xdr:to>
    <mc:AlternateContent xmlns:mc="http://schemas.openxmlformats.org/markup-compatibility/2006">
      <mc:Choice xmlns:a14="http://schemas.microsoft.com/office/drawing/2010/main" Requires="a14">
        <xdr:graphicFrame macro="">
          <xdr:nvGraphicFramePr>
            <xdr:cNvPr id="35" name="Months (Date)">
              <a:extLst>
                <a:ext uri="{FF2B5EF4-FFF2-40B4-BE49-F238E27FC236}">
                  <a16:creationId xmlns:a16="http://schemas.microsoft.com/office/drawing/2014/main" id="{6ED53604-3995-478C-B7E4-917B0D0B5870}"/>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9676846" y="552174"/>
              <a:ext cx="1670328" cy="20292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67.767925694447" createdVersion="8" refreshedVersion="8" minRefreshableVersion="3" recordCount="500" xr:uid="{D49FE650-78A5-469D-868E-2CDB3265BEF0}">
  <cacheSource type="worksheet">
    <worksheetSource name="Table1"/>
  </cacheSource>
  <cacheFields count="11">
    <cacheField name="Sl No" numFmtId="0">
      <sharedItems containsSemiMixedTypes="0" containsString="0" containsNumber="1" containsInteger="1" minValue="1" maxValue="500"/>
    </cacheField>
    <cacheField name="Date" numFmtId="14">
      <sharedItems containsSemiMixedTypes="0" containsNonDate="0" containsDate="1" containsString="0" minDate="2025-09-16T00:00:00" maxDate="2027-01-29T00:00:00" count="5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sharedItems>
      <fieldGroup par="10"/>
    </cacheField>
    <cacheField name="Customer" numFmtId="0">
      <sharedItems count="10">
        <s v="Maria Angelica"/>
        <s v="Lukas MÃ¼ller"/>
        <s v="Mohammad Ali"/>
        <s v="Ava Jenkins"/>
        <s v="Ethan Lee"/>
        <s v="Olivia Brown"/>
        <s v="Ramesh Kumar"/>
        <s v="Yui Nakamura"/>
        <s v="Emily Johnson"/>
        <s v="Fatima Al Mak"/>
      </sharedItems>
    </cacheField>
    <cacheField name="Region" numFmtId="0">
      <sharedItems count="4">
        <s v="West"/>
        <s v="East"/>
        <s v="North"/>
        <s v="South"/>
      </sharedItems>
    </cacheField>
    <cacheField name="Item" numFmtId="0">
      <sharedItems count="7">
        <s v="USB Drive"/>
        <s v="Charger"/>
        <s v="Pen Set"/>
        <s v="Chair"/>
        <s v="Desk Lamp"/>
        <s v="Notebook"/>
        <s v="Backpack"/>
      </sharedItems>
    </cacheField>
    <cacheField name="Qty" numFmtId="0">
      <sharedItems containsSemiMixedTypes="0" containsString="0" containsNumber="1" containsInteger="1" minValue="1" maxValue="10" count="10">
        <n v="1"/>
        <n v="4"/>
        <n v="6"/>
        <n v="10"/>
        <n v="2"/>
        <n v="3"/>
        <n v="9"/>
        <n v="5"/>
        <n v="7"/>
        <n v="8"/>
      </sharedItems>
    </cacheField>
    <cacheField name="Price" numFmtId="0">
      <sharedItems containsSemiMixedTypes="0" containsString="0" containsNumber="1" containsInteger="1" minValue="50" maxValue="8000"/>
    </cacheField>
    <cacheField name="Amount" numFmtId="0">
      <sharedItems containsSemiMixedTypes="0" containsString="0" containsNumber="1" containsInteger="1" minValue="50" maxValue="80000" count="59">
        <n v="500"/>
        <n v="200"/>
        <n v="48000"/>
        <n v="50"/>
        <n v="80000"/>
        <n v="720"/>
        <n v="100"/>
        <n v="150"/>
        <n v="300"/>
        <n v="5400"/>
        <n v="5000"/>
        <n v="2300"/>
        <n v="600"/>
        <n v="700"/>
        <n v="1840"/>
        <n v="920"/>
        <n v="2400"/>
        <n v="1200"/>
        <n v="240"/>
        <n v="4200"/>
        <n v="1380"/>
        <n v="72000"/>
        <n v="1000"/>
        <n v="4000"/>
        <n v="40000"/>
        <n v="690"/>
        <n v="230"/>
        <n v="400"/>
        <n v="2000"/>
        <n v="250"/>
        <n v="3600"/>
        <n v="56000"/>
        <n v="1150"/>
        <n v="1500"/>
        <n v="4800"/>
        <n v="480"/>
        <n v="8000"/>
        <n v="450"/>
        <n v="3000"/>
        <n v="900"/>
        <n v="6000"/>
        <n v="1610"/>
        <n v="2070"/>
        <n v="1080"/>
        <n v="3500"/>
        <n v="960"/>
        <n v="800"/>
        <n v="16000"/>
        <n v="4500"/>
        <n v="32000"/>
        <n v="24000"/>
        <n v="2500"/>
        <n v="1800"/>
        <n v="120"/>
        <n v="360"/>
        <n v="350"/>
        <n v="64000"/>
        <n v="840"/>
        <n v="460"/>
      </sharedItems>
    </cacheField>
    <cacheField name="Months (Date)" numFmtId="0" databaseField="0">
      <fieldGroup base="1">
        <rangePr groupBy="months" startDate="2025-09-16T00:00:00" endDate="2027-01-29T00:00:00"/>
        <groupItems count="14">
          <s v="&lt;16-09-2025"/>
          <s v="Jan"/>
          <s v="Feb"/>
          <s v="Mar"/>
          <s v="Apr"/>
          <s v="May"/>
          <s v="Jun"/>
          <s v="Jul"/>
          <s v="Aug"/>
          <s v="Sep"/>
          <s v="Oct"/>
          <s v="Nov"/>
          <s v="Dec"/>
          <s v="&gt;29-01-2027"/>
        </groupItems>
      </fieldGroup>
    </cacheField>
    <cacheField name="Quarters (Date)" numFmtId="0" databaseField="0">
      <fieldGroup base="1">
        <rangePr groupBy="quarters" startDate="2025-09-16T00:00:00" endDate="2027-01-29T00:00:00"/>
        <groupItems count="6">
          <s v="&lt;16-09-2025"/>
          <s v="Qtr1"/>
          <s v="Qtr2"/>
          <s v="Qtr3"/>
          <s v="Qtr4"/>
          <s v="&gt;29-01-2027"/>
        </groupItems>
      </fieldGroup>
    </cacheField>
    <cacheField name="Years (Date)" numFmtId="0" databaseField="0">
      <fieldGroup base="1">
        <rangePr groupBy="years" startDate="2025-09-16T00:00:00" endDate="2027-01-29T00:00:00"/>
        <groupItems count="5">
          <s v="&lt;16-09-2025"/>
          <s v="2025"/>
          <s v="2026"/>
          <s v="2027"/>
          <s v="&gt;29-01-2027"/>
        </groupItems>
      </fieldGroup>
    </cacheField>
  </cacheFields>
  <extLst>
    <ext xmlns:x14="http://schemas.microsoft.com/office/spreadsheetml/2009/9/main" uri="{725AE2AE-9491-48be-B2B4-4EB974FC3084}">
      <x14:pivotCacheDefinition pivotCacheId="19572662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x v="0"/>
    <x v="0"/>
    <x v="0"/>
    <x v="0"/>
    <n v="500"/>
    <x v="0"/>
  </r>
  <r>
    <n v="2"/>
    <x v="1"/>
    <x v="1"/>
    <x v="1"/>
    <x v="1"/>
    <x v="1"/>
    <n v="50"/>
    <x v="1"/>
  </r>
  <r>
    <n v="3"/>
    <x v="2"/>
    <x v="2"/>
    <x v="0"/>
    <x v="2"/>
    <x v="2"/>
    <n v="8000"/>
    <x v="2"/>
  </r>
  <r>
    <n v="4"/>
    <x v="3"/>
    <x v="1"/>
    <x v="1"/>
    <x v="3"/>
    <x v="0"/>
    <n v="50"/>
    <x v="3"/>
  </r>
  <r>
    <n v="5"/>
    <x v="4"/>
    <x v="3"/>
    <x v="2"/>
    <x v="3"/>
    <x v="3"/>
    <n v="8000"/>
    <x v="4"/>
  </r>
  <r>
    <n v="6"/>
    <x v="5"/>
    <x v="4"/>
    <x v="0"/>
    <x v="4"/>
    <x v="2"/>
    <n v="120"/>
    <x v="5"/>
  </r>
  <r>
    <n v="7"/>
    <x v="6"/>
    <x v="5"/>
    <x v="1"/>
    <x v="1"/>
    <x v="4"/>
    <n v="50"/>
    <x v="6"/>
  </r>
  <r>
    <n v="8"/>
    <x v="7"/>
    <x v="4"/>
    <x v="1"/>
    <x v="5"/>
    <x v="5"/>
    <n v="50"/>
    <x v="7"/>
  </r>
  <r>
    <n v="9"/>
    <x v="8"/>
    <x v="6"/>
    <x v="1"/>
    <x v="1"/>
    <x v="5"/>
    <n v="100"/>
    <x v="8"/>
  </r>
  <r>
    <n v="10"/>
    <x v="9"/>
    <x v="2"/>
    <x v="2"/>
    <x v="0"/>
    <x v="6"/>
    <n v="600"/>
    <x v="9"/>
  </r>
  <r>
    <n v="11"/>
    <x v="10"/>
    <x v="7"/>
    <x v="2"/>
    <x v="1"/>
    <x v="3"/>
    <n v="500"/>
    <x v="10"/>
  </r>
  <r>
    <n v="12"/>
    <x v="11"/>
    <x v="8"/>
    <x v="2"/>
    <x v="4"/>
    <x v="3"/>
    <n v="230"/>
    <x v="11"/>
  </r>
  <r>
    <n v="13"/>
    <x v="12"/>
    <x v="7"/>
    <x v="2"/>
    <x v="4"/>
    <x v="7"/>
    <n v="120"/>
    <x v="12"/>
  </r>
  <r>
    <n v="14"/>
    <x v="13"/>
    <x v="9"/>
    <x v="1"/>
    <x v="1"/>
    <x v="8"/>
    <n v="100"/>
    <x v="13"/>
  </r>
  <r>
    <n v="15"/>
    <x v="14"/>
    <x v="1"/>
    <x v="0"/>
    <x v="4"/>
    <x v="9"/>
    <n v="230"/>
    <x v="14"/>
  </r>
  <r>
    <n v="16"/>
    <x v="15"/>
    <x v="5"/>
    <x v="3"/>
    <x v="3"/>
    <x v="1"/>
    <n v="230"/>
    <x v="15"/>
  </r>
  <r>
    <n v="17"/>
    <x v="16"/>
    <x v="6"/>
    <x v="2"/>
    <x v="5"/>
    <x v="1"/>
    <n v="600"/>
    <x v="16"/>
  </r>
  <r>
    <n v="18"/>
    <x v="17"/>
    <x v="2"/>
    <x v="0"/>
    <x v="0"/>
    <x v="4"/>
    <n v="600"/>
    <x v="17"/>
  </r>
  <r>
    <n v="19"/>
    <x v="18"/>
    <x v="5"/>
    <x v="2"/>
    <x v="5"/>
    <x v="9"/>
    <n v="230"/>
    <x v="14"/>
  </r>
  <r>
    <n v="20"/>
    <x v="19"/>
    <x v="1"/>
    <x v="2"/>
    <x v="2"/>
    <x v="4"/>
    <n v="120"/>
    <x v="18"/>
  </r>
  <r>
    <n v="21"/>
    <x v="20"/>
    <x v="9"/>
    <x v="3"/>
    <x v="0"/>
    <x v="8"/>
    <n v="600"/>
    <x v="19"/>
  </r>
  <r>
    <n v="22"/>
    <x v="21"/>
    <x v="3"/>
    <x v="3"/>
    <x v="4"/>
    <x v="0"/>
    <n v="50"/>
    <x v="3"/>
  </r>
  <r>
    <n v="23"/>
    <x v="22"/>
    <x v="2"/>
    <x v="0"/>
    <x v="5"/>
    <x v="2"/>
    <n v="230"/>
    <x v="20"/>
  </r>
  <r>
    <n v="24"/>
    <x v="23"/>
    <x v="2"/>
    <x v="0"/>
    <x v="6"/>
    <x v="2"/>
    <n v="50"/>
    <x v="8"/>
  </r>
  <r>
    <n v="25"/>
    <x v="24"/>
    <x v="1"/>
    <x v="3"/>
    <x v="6"/>
    <x v="6"/>
    <n v="8000"/>
    <x v="21"/>
  </r>
  <r>
    <n v="26"/>
    <x v="25"/>
    <x v="3"/>
    <x v="0"/>
    <x v="0"/>
    <x v="3"/>
    <n v="100"/>
    <x v="22"/>
  </r>
  <r>
    <n v="27"/>
    <x v="26"/>
    <x v="5"/>
    <x v="1"/>
    <x v="1"/>
    <x v="4"/>
    <n v="120"/>
    <x v="18"/>
  </r>
  <r>
    <n v="28"/>
    <x v="27"/>
    <x v="8"/>
    <x v="1"/>
    <x v="1"/>
    <x v="0"/>
    <n v="50"/>
    <x v="3"/>
  </r>
  <r>
    <n v="29"/>
    <x v="28"/>
    <x v="0"/>
    <x v="1"/>
    <x v="4"/>
    <x v="9"/>
    <n v="500"/>
    <x v="23"/>
  </r>
  <r>
    <n v="30"/>
    <x v="29"/>
    <x v="7"/>
    <x v="3"/>
    <x v="4"/>
    <x v="0"/>
    <n v="50"/>
    <x v="3"/>
  </r>
  <r>
    <n v="31"/>
    <x v="30"/>
    <x v="2"/>
    <x v="0"/>
    <x v="6"/>
    <x v="2"/>
    <n v="8000"/>
    <x v="2"/>
  </r>
  <r>
    <n v="32"/>
    <x v="31"/>
    <x v="3"/>
    <x v="0"/>
    <x v="6"/>
    <x v="2"/>
    <n v="8000"/>
    <x v="2"/>
  </r>
  <r>
    <n v="33"/>
    <x v="32"/>
    <x v="1"/>
    <x v="1"/>
    <x v="6"/>
    <x v="7"/>
    <n v="8000"/>
    <x v="24"/>
  </r>
  <r>
    <n v="34"/>
    <x v="33"/>
    <x v="8"/>
    <x v="3"/>
    <x v="3"/>
    <x v="5"/>
    <n v="230"/>
    <x v="25"/>
  </r>
  <r>
    <n v="35"/>
    <x v="34"/>
    <x v="2"/>
    <x v="2"/>
    <x v="6"/>
    <x v="0"/>
    <n v="230"/>
    <x v="26"/>
  </r>
  <r>
    <n v="36"/>
    <x v="35"/>
    <x v="0"/>
    <x v="2"/>
    <x v="5"/>
    <x v="9"/>
    <n v="50"/>
    <x v="27"/>
  </r>
  <r>
    <n v="37"/>
    <x v="36"/>
    <x v="7"/>
    <x v="1"/>
    <x v="3"/>
    <x v="1"/>
    <n v="500"/>
    <x v="28"/>
  </r>
  <r>
    <n v="38"/>
    <x v="37"/>
    <x v="1"/>
    <x v="1"/>
    <x v="0"/>
    <x v="3"/>
    <n v="50"/>
    <x v="0"/>
  </r>
  <r>
    <n v="39"/>
    <x v="38"/>
    <x v="5"/>
    <x v="2"/>
    <x v="3"/>
    <x v="5"/>
    <n v="100"/>
    <x v="8"/>
  </r>
  <r>
    <n v="40"/>
    <x v="39"/>
    <x v="5"/>
    <x v="3"/>
    <x v="4"/>
    <x v="7"/>
    <n v="50"/>
    <x v="29"/>
  </r>
  <r>
    <n v="41"/>
    <x v="40"/>
    <x v="4"/>
    <x v="3"/>
    <x v="4"/>
    <x v="2"/>
    <n v="600"/>
    <x v="30"/>
  </r>
  <r>
    <n v="42"/>
    <x v="41"/>
    <x v="7"/>
    <x v="3"/>
    <x v="1"/>
    <x v="8"/>
    <n v="8000"/>
    <x v="31"/>
  </r>
  <r>
    <n v="43"/>
    <x v="42"/>
    <x v="5"/>
    <x v="3"/>
    <x v="6"/>
    <x v="7"/>
    <n v="230"/>
    <x v="32"/>
  </r>
  <r>
    <n v="44"/>
    <x v="43"/>
    <x v="2"/>
    <x v="2"/>
    <x v="3"/>
    <x v="2"/>
    <n v="230"/>
    <x v="20"/>
  </r>
  <r>
    <n v="45"/>
    <x v="44"/>
    <x v="1"/>
    <x v="3"/>
    <x v="0"/>
    <x v="5"/>
    <n v="500"/>
    <x v="33"/>
  </r>
  <r>
    <n v="46"/>
    <x v="45"/>
    <x v="7"/>
    <x v="2"/>
    <x v="2"/>
    <x v="3"/>
    <n v="50"/>
    <x v="0"/>
  </r>
  <r>
    <n v="47"/>
    <x v="46"/>
    <x v="0"/>
    <x v="3"/>
    <x v="5"/>
    <x v="7"/>
    <n v="8000"/>
    <x v="24"/>
  </r>
  <r>
    <n v="48"/>
    <x v="47"/>
    <x v="8"/>
    <x v="2"/>
    <x v="1"/>
    <x v="9"/>
    <n v="230"/>
    <x v="14"/>
  </r>
  <r>
    <n v="49"/>
    <x v="48"/>
    <x v="9"/>
    <x v="0"/>
    <x v="2"/>
    <x v="0"/>
    <n v="600"/>
    <x v="12"/>
  </r>
  <r>
    <n v="50"/>
    <x v="49"/>
    <x v="7"/>
    <x v="1"/>
    <x v="3"/>
    <x v="5"/>
    <n v="230"/>
    <x v="25"/>
  </r>
  <r>
    <n v="51"/>
    <x v="50"/>
    <x v="8"/>
    <x v="2"/>
    <x v="1"/>
    <x v="9"/>
    <n v="600"/>
    <x v="34"/>
  </r>
  <r>
    <n v="52"/>
    <x v="51"/>
    <x v="2"/>
    <x v="2"/>
    <x v="6"/>
    <x v="1"/>
    <n v="120"/>
    <x v="35"/>
  </r>
  <r>
    <n v="53"/>
    <x v="52"/>
    <x v="3"/>
    <x v="2"/>
    <x v="3"/>
    <x v="3"/>
    <n v="100"/>
    <x v="22"/>
  </r>
  <r>
    <n v="54"/>
    <x v="53"/>
    <x v="4"/>
    <x v="1"/>
    <x v="3"/>
    <x v="1"/>
    <n v="100"/>
    <x v="27"/>
  </r>
  <r>
    <n v="55"/>
    <x v="54"/>
    <x v="6"/>
    <x v="1"/>
    <x v="5"/>
    <x v="8"/>
    <n v="100"/>
    <x v="13"/>
  </r>
  <r>
    <n v="56"/>
    <x v="55"/>
    <x v="2"/>
    <x v="3"/>
    <x v="5"/>
    <x v="0"/>
    <n v="8000"/>
    <x v="36"/>
  </r>
  <r>
    <n v="57"/>
    <x v="56"/>
    <x v="8"/>
    <x v="3"/>
    <x v="3"/>
    <x v="0"/>
    <n v="500"/>
    <x v="0"/>
  </r>
  <r>
    <n v="58"/>
    <x v="57"/>
    <x v="9"/>
    <x v="1"/>
    <x v="0"/>
    <x v="8"/>
    <n v="100"/>
    <x v="13"/>
  </r>
  <r>
    <n v="59"/>
    <x v="58"/>
    <x v="0"/>
    <x v="2"/>
    <x v="6"/>
    <x v="6"/>
    <n v="50"/>
    <x v="37"/>
  </r>
  <r>
    <n v="60"/>
    <x v="59"/>
    <x v="3"/>
    <x v="3"/>
    <x v="0"/>
    <x v="7"/>
    <n v="100"/>
    <x v="0"/>
  </r>
  <r>
    <n v="61"/>
    <x v="60"/>
    <x v="0"/>
    <x v="2"/>
    <x v="1"/>
    <x v="2"/>
    <n v="8000"/>
    <x v="2"/>
  </r>
  <r>
    <n v="62"/>
    <x v="61"/>
    <x v="2"/>
    <x v="3"/>
    <x v="0"/>
    <x v="0"/>
    <n v="500"/>
    <x v="0"/>
  </r>
  <r>
    <n v="63"/>
    <x v="62"/>
    <x v="9"/>
    <x v="3"/>
    <x v="1"/>
    <x v="1"/>
    <n v="600"/>
    <x v="16"/>
  </r>
  <r>
    <n v="64"/>
    <x v="63"/>
    <x v="5"/>
    <x v="0"/>
    <x v="2"/>
    <x v="2"/>
    <n v="500"/>
    <x v="38"/>
  </r>
  <r>
    <n v="65"/>
    <x v="64"/>
    <x v="2"/>
    <x v="0"/>
    <x v="2"/>
    <x v="2"/>
    <n v="600"/>
    <x v="30"/>
  </r>
  <r>
    <n v="66"/>
    <x v="65"/>
    <x v="9"/>
    <x v="3"/>
    <x v="1"/>
    <x v="5"/>
    <n v="50"/>
    <x v="7"/>
  </r>
  <r>
    <n v="67"/>
    <x v="66"/>
    <x v="8"/>
    <x v="3"/>
    <x v="5"/>
    <x v="2"/>
    <n v="100"/>
    <x v="12"/>
  </r>
  <r>
    <n v="68"/>
    <x v="67"/>
    <x v="7"/>
    <x v="0"/>
    <x v="1"/>
    <x v="5"/>
    <n v="500"/>
    <x v="33"/>
  </r>
  <r>
    <n v="69"/>
    <x v="68"/>
    <x v="5"/>
    <x v="3"/>
    <x v="4"/>
    <x v="0"/>
    <n v="8000"/>
    <x v="36"/>
  </r>
  <r>
    <n v="70"/>
    <x v="69"/>
    <x v="0"/>
    <x v="1"/>
    <x v="2"/>
    <x v="7"/>
    <n v="50"/>
    <x v="29"/>
  </r>
  <r>
    <n v="71"/>
    <x v="70"/>
    <x v="3"/>
    <x v="2"/>
    <x v="4"/>
    <x v="0"/>
    <n v="8000"/>
    <x v="36"/>
  </r>
  <r>
    <n v="72"/>
    <x v="71"/>
    <x v="7"/>
    <x v="2"/>
    <x v="5"/>
    <x v="1"/>
    <n v="600"/>
    <x v="16"/>
  </r>
  <r>
    <n v="73"/>
    <x v="72"/>
    <x v="7"/>
    <x v="3"/>
    <x v="0"/>
    <x v="6"/>
    <n v="50"/>
    <x v="37"/>
  </r>
  <r>
    <n v="74"/>
    <x v="73"/>
    <x v="8"/>
    <x v="1"/>
    <x v="6"/>
    <x v="0"/>
    <n v="500"/>
    <x v="0"/>
  </r>
  <r>
    <n v="75"/>
    <x v="74"/>
    <x v="4"/>
    <x v="0"/>
    <x v="0"/>
    <x v="6"/>
    <n v="100"/>
    <x v="39"/>
  </r>
  <r>
    <n v="76"/>
    <x v="75"/>
    <x v="0"/>
    <x v="1"/>
    <x v="1"/>
    <x v="3"/>
    <n v="600"/>
    <x v="40"/>
  </r>
  <r>
    <n v="77"/>
    <x v="76"/>
    <x v="6"/>
    <x v="3"/>
    <x v="1"/>
    <x v="8"/>
    <n v="230"/>
    <x v="41"/>
  </r>
  <r>
    <n v="78"/>
    <x v="77"/>
    <x v="8"/>
    <x v="3"/>
    <x v="2"/>
    <x v="3"/>
    <n v="100"/>
    <x v="22"/>
  </r>
  <r>
    <n v="79"/>
    <x v="78"/>
    <x v="7"/>
    <x v="2"/>
    <x v="5"/>
    <x v="6"/>
    <n v="230"/>
    <x v="42"/>
  </r>
  <r>
    <n v="80"/>
    <x v="79"/>
    <x v="6"/>
    <x v="2"/>
    <x v="2"/>
    <x v="4"/>
    <n v="100"/>
    <x v="1"/>
  </r>
  <r>
    <n v="81"/>
    <x v="80"/>
    <x v="9"/>
    <x v="2"/>
    <x v="1"/>
    <x v="2"/>
    <n v="100"/>
    <x v="12"/>
  </r>
  <r>
    <n v="82"/>
    <x v="81"/>
    <x v="9"/>
    <x v="1"/>
    <x v="4"/>
    <x v="2"/>
    <n v="100"/>
    <x v="12"/>
  </r>
  <r>
    <n v="83"/>
    <x v="82"/>
    <x v="7"/>
    <x v="3"/>
    <x v="6"/>
    <x v="6"/>
    <n v="120"/>
    <x v="43"/>
  </r>
  <r>
    <n v="84"/>
    <x v="83"/>
    <x v="3"/>
    <x v="0"/>
    <x v="1"/>
    <x v="8"/>
    <n v="500"/>
    <x v="44"/>
  </r>
  <r>
    <n v="85"/>
    <x v="84"/>
    <x v="6"/>
    <x v="0"/>
    <x v="3"/>
    <x v="2"/>
    <n v="500"/>
    <x v="38"/>
  </r>
  <r>
    <n v="86"/>
    <x v="85"/>
    <x v="5"/>
    <x v="2"/>
    <x v="5"/>
    <x v="9"/>
    <n v="120"/>
    <x v="45"/>
  </r>
  <r>
    <n v="87"/>
    <x v="86"/>
    <x v="6"/>
    <x v="1"/>
    <x v="0"/>
    <x v="2"/>
    <n v="8000"/>
    <x v="2"/>
  </r>
  <r>
    <n v="88"/>
    <x v="87"/>
    <x v="2"/>
    <x v="3"/>
    <x v="6"/>
    <x v="0"/>
    <n v="50"/>
    <x v="3"/>
  </r>
  <r>
    <n v="89"/>
    <x v="88"/>
    <x v="5"/>
    <x v="0"/>
    <x v="1"/>
    <x v="5"/>
    <n v="100"/>
    <x v="8"/>
  </r>
  <r>
    <n v="90"/>
    <x v="89"/>
    <x v="6"/>
    <x v="2"/>
    <x v="6"/>
    <x v="9"/>
    <n v="100"/>
    <x v="46"/>
  </r>
  <r>
    <n v="91"/>
    <x v="90"/>
    <x v="0"/>
    <x v="1"/>
    <x v="1"/>
    <x v="3"/>
    <n v="8000"/>
    <x v="4"/>
  </r>
  <r>
    <n v="92"/>
    <x v="91"/>
    <x v="0"/>
    <x v="0"/>
    <x v="1"/>
    <x v="4"/>
    <n v="8000"/>
    <x v="47"/>
  </r>
  <r>
    <n v="93"/>
    <x v="92"/>
    <x v="8"/>
    <x v="2"/>
    <x v="5"/>
    <x v="9"/>
    <n v="120"/>
    <x v="45"/>
  </r>
  <r>
    <n v="94"/>
    <x v="93"/>
    <x v="4"/>
    <x v="0"/>
    <x v="0"/>
    <x v="6"/>
    <n v="8000"/>
    <x v="21"/>
  </r>
  <r>
    <n v="95"/>
    <x v="94"/>
    <x v="7"/>
    <x v="3"/>
    <x v="4"/>
    <x v="1"/>
    <n v="230"/>
    <x v="15"/>
  </r>
  <r>
    <n v="96"/>
    <x v="95"/>
    <x v="8"/>
    <x v="3"/>
    <x v="3"/>
    <x v="5"/>
    <n v="50"/>
    <x v="7"/>
  </r>
  <r>
    <n v="97"/>
    <x v="96"/>
    <x v="3"/>
    <x v="0"/>
    <x v="5"/>
    <x v="6"/>
    <n v="500"/>
    <x v="48"/>
  </r>
  <r>
    <n v="98"/>
    <x v="97"/>
    <x v="7"/>
    <x v="0"/>
    <x v="1"/>
    <x v="2"/>
    <n v="600"/>
    <x v="30"/>
  </r>
  <r>
    <n v="99"/>
    <x v="98"/>
    <x v="2"/>
    <x v="1"/>
    <x v="4"/>
    <x v="6"/>
    <n v="230"/>
    <x v="42"/>
  </r>
  <r>
    <n v="100"/>
    <x v="99"/>
    <x v="6"/>
    <x v="1"/>
    <x v="5"/>
    <x v="1"/>
    <n v="50"/>
    <x v="1"/>
  </r>
  <r>
    <n v="101"/>
    <x v="100"/>
    <x v="6"/>
    <x v="3"/>
    <x v="6"/>
    <x v="8"/>
    <n v="600"/>
    <x v="19"/>
  </r>
  <r>
    <n v="102"/>
    <x v="101"/>
    <x v="6"/>
    <x v="2"/>
    <x v="1"/>
    <x v="7"/>
    <n v="120"/>
    <x v="12"/>
  </r>
  <r>
    <n v="103"/>
    <x v="102"/>
    <x v="2"/>
    <x v="3"/>
    <x v="1"/>
    <x v="8"/>
    <n v="100"/>
    <x v="13"/>
  </r>
  <r>
    <n v="104"/>
    <x v="103"/>
    <x v="4"/>
    <x v="2"/>
    <x v="5"/>
    <x v="3"/>
    <n v="120"/>
    <x v="17"/>
  </r>
  <r>
    <n v="105"/>
    <x v="104"/>
    <x v="2"/>
    <x v="0"/>
    <x v="0"/>
    <x v="9"/>
    <n v="600"/>
    <x v="34"/>
  </r>
  <r>
    <n v="106"/>
    <x v="105"/>
    <x v="6"/>
    <x v="1"/>
    <x v="3"/>
    <x v="6"/>
    <n v="100"/>
    <x v="39"/>
  </r>
  <r>
    <n v="107"/>
    <x v="106"/>
    <x v="4"/>
    <x v="0"/>
    <x v="0"/>
    <x v="4"/>
    <n v="600"/>
    <x v="17"/>
  </r>
  <r>
    <n v="108"/>
    <x v="107"/>
    <x v="1"/>
    <x v="3"/>
    <x v="6"/>
    <x v="3"/>
    <n v="50"/>
    <x v="0"/>
  </r>
  <r>
    <n v="109"/>
    <x v="108"/>
    <x v="4"/>
    <x v="1"/>
    <x v="3"/>
    <x v="7"/>
    <n v="600"/>
    <x v="38"/>
  </r>
  <r>
    <n v="110"/>
    <x v="109"/>
    <x v="4"/>
    <x v="0"/>
    <x v="4"/>
    <x v="1"/>
    <n v="8000"/>
    <x v="49"/>
  </r>
  <r>
    <n v="111"/>
    <x v="110"/>
    <x v="4"/>
    <x v="3"/>
    <x v="3"/>
    <x v="8"/>
    <n v="500"/>
    <x v="44"/>
  </r>
  <r>
    <n v="112"/>
    <x v="111"/>
    <x v="2"/>
    <x v="2"/>
    <x v="4"/>
    <x v="2"/>
    <n v="50"/>
    <x v="8"/>
  </r>
  <r>
    <n v="113"/>
    <x v="112"/>
    <x v="0"/>
    <x v="1"/>
    <x v="1"/>
    <x v="3"/>
    <n v="100"/>
    <x v="22"/>
  </r>
  <r>
    <n v="114"/>
    <x v="113"/>
    <x v="5"/>
    <x v="1"/>
    <x v="3"/>
    <x v="8"/>
    <n v="230"/>
    <x v="41"/>
  </r>
  <r>
    <n v="115"/>
    <x v="114"/>
    <x v="9"/>
    <x v="1"/>
    <x v="6"/>
    <x v="1"/>
    <n v="100"/>
    <x v="27"/>
  </r>
  <r>
    <n v="116"/>
    <x v="115"/>
    <x v="6"/>
    <x v="3"/>
    <x v="2"/>
    <x v="5"/>
    <n v="50"/>
    <x v="7"/>
  </r>
  <r>
    <n v="117"/>
    <x v="116"/>
    <x v="2"/>
    <x v="0"/>
    <x v="1"/>
    <x v="9"/>
    <n v="100"/>
    <x v="46"/>
  </r>
  <r>
    <n v="118"/>
    <x v="117"/>
    <x v="8"/>
    <x v="0"/>
    <x v="4"/>
    <x v="3"/>
    <n v="230"/>
    <x v="11"/>
  </r>
  <r>
    <n v="119"/>
    <x v="118"/>
    <x v="0"/>
    <x v="1"/>
    <x v="0"/>
    <x v="2"/>
    <n v="230"/>
    <x v="20"/>
  </r>
  <r>
    <n v="120"/>
    <x v="119"/>
    <x v="4"/>
    <x v="0"/>
    <x v="2"/>
    <x v="8"/>
    <n v="230"/>
    <x v="41"/>
  </r>
  <r>
    <n v="121"/>
    <x v="120"/>
    <x v="4"/>
    <x v="2"/>
    <x v="1"/>
    <x v="2"/>
    <n v="120"/>
    <x v="5"/>
  </r>
  <r>
    <n v="122"/>
    <x v="121"/>
    <x v="0"/>
    <x v="2"/>
    <x v="6"/>
    <x v="5"/>
    <n v="8000"/>
    <x v="50"/>
  </r>
  <r>
    <n v="123"/>
    <x v="122"/>
    <x v="2"/>
    <x v="3"/>
    <x v="6"/>
    <x v="4"/>
    <n v="50"/>
    <x v="6"/>
  </r>
  <r>
    <n v="124"/>
    <x v="123"/>
    <x v="3"/>
    <x v="1"/>
    <x v="3"/>
    <x v="7"/>
    <n v="50"/>
    <x v="29"/>
  </r>
  <r>
    <n v="125"/>
    <x v="124"/>
    <x v="9"/>
    <x v="3"/>
    <x v="4"/>
    <x v="1"/>
    <n v="230"/>
    <x v="15"/>
  </r>
  <r>
    <n v="126"/>
    <x v="125"/>
    <x v="8"/>
    <x v="1"/>
    <x v="2"/>
    <x v="7"/>
    <n v="500"/>
    <x v="51"/>
  </r>
  <r>
    <n v="127"/>
    <x v="126"/>
    <x v="7"/>
    <x v="3"/>
    <x v="2"/>
    <x v="3"/>
    <n v="8000"/>
    <x v="4"/>
  </r>
  <r>
    <n v="128"/>
    <x v="127"/>
    <x v="0"/>
    <x v="1"/>
    <x v="6"/>
    <x v="1"/>
    <n v="100"/>
    <x v="27"/>
  </r>
  <r>
    <n v="129"/>
    <x v="128"/>
    <x v="1"/>
    <x v="1"/>
    <x v="3"/>
    <x v="7"/>
    <n v="100"/>
    <x v="0"/>
  </r>
  <r>
    <n v="130"/>
    <x v="129"/>
    <x v="1"/>
    <x v="3"/>
    <x v="3"/>
    <x v="1"/>
    <n v="230"/>
    <x v="15"/>
  </r>
  <r>
    <n v="131"/>
    <x v="130"/>
    <x v="5"/>
    <x v="3"/>
    <x v="1"/>
    <x v="8"/>
    <n v="8000"/>
    <x v="31"/>
  </r>
  <r>
    <n v="132"/>
    <x v="131"/>
    <x v="7"/>
    <x v="0"/>
    <x v="5"/>
    <x v="1"/>
    <n v="8000"/>
    <x v="49"/>
  </r>
  <r>
    <n v="133"/>
    <x v="132"/>
    <x v="9"/>
    <x v="2"/>
    <x v="6"/>
    <x v="3"/>
    <n v="500"/>
    <x v="10"/>
  </r>
  <r>
    <n v="134"/>
    <x v="133"/>
    <x v="8"/>
    <x v="2"/>
    <x v="6"/>
    <x v="5"/>
    <n v="600"/>
    <x v="52"/>
  </r>
  <r>
    <n v="135"/>
    <x v="134"/>
    <x v="5"/>
    <x v="3"/>
    <x v="1"/>
    <x v="4"/>
    <n v="600"/>
    <x v="17"/>
  </r>
  <r>
    <n v="136"/>
    <x v="135"/>
    <x v="7"/>
    <x v="1"/>
    <x v="6"/>
    <x v="5"/>
    <n v="50"/>
    <x v="7"/>
  </r>
  <r>
    <n v="137"/>
    <x v="136"/>
    <x v="0"/>
    <x v="2"/>
    <x v="6"/>
    <x v="5"/>
    <n v="8000"/>
    <x v="50"/>
  </r>
  <r>
    <n v="138"/>
    <x v="137"/>
    <x v="6"/>
    <x v="0"/>
    <x v="4"/>
    <x v="6"/>
    <n v="600"/>
    <x v="9"/>
  </r>
  <r>
    <n v="139"/>
    <x v="138"/>
    <x v="4"/>
    <x v="3"/>
    <x v="0"/>
    <x v="0"/>
    <n v="8000"/>
    <x v="36"/>
  </r>
  <r>
    <n v="140"/>
    <x v="139"/>
    <x v="3"/>
    <x v="3"/>
    <x v="2"/>
    <x v="1"/>
    <n v="600"/>
    <x v="16"/>
  </r>
  <r>
    <n v="141"/>
    <x v="140"/>
    <x v="3"/>
    <x v="3"/>
    <x v="0"/>
    <x v="4"/>
    <n v="8000"/>
    <x v="47"/>
  </r>
  <r>
    <n v="142"/>
    <x v="141"/>
    <x v="8"/>
    <x v="1"/>
    <x v="3"/>
    <x v="4"/>
    <n v="100"/>
    <x v="1"/>
  </r>
  <r>
    <n v="143"/>
    <x v="142"/>
    <x v="9"/>
    <x v="3"/>
    <x v="0"/>
    <x v="2"/>
    <n v="500"/>
    <x v="38"/>
  </r>
  <r>
    <n v="144"/>
    <x v="143"/>
    <x v="9"/>
    <x v="0"/>
    <x v="0"/>
    <x v="7"/>
    <n v="100"/>
    <x v="0"/>
  </r>
  <r>
    <n v="145"/>
    <x v="144"/>
    <x v="8"/>
    <x v="0"/>
    <x v="4"/>
    <x v="4"/>
    <n v="120"/>
    <x v="18"/>
  </r>
  <r>
    <n v="146"/>
    <x v="145"/>
    <x v="8"/>
    <x v="2"/>
    <x v="3"/>
    <x v="0"/>
    <n v="120"/>
    <x v="53"/>
  </r>
  <r>
    <n v="147"/>
    <x v="146"/>
    <x v="2"/>
    <x v="2"/>
    <x v="0"/>
    <x v="0"/>
    <n v="500"/>
    <x v="0"/>
  </r>
  <r>
    <n v="148"/>
    <x v="147"/>
    <x v="7"/>
    <x v="3"/>
    <x v="2"/>
    <x v="4"/>
    <n v="120"/>
    <x v="18"/>
  </r>
  <r>
    <n v="149"/>
    <x v="148"/>
    <x v="3"/>
    <x v="2"/>
    <x v="2"/>
    <x v="6"/>
    <n v="120"/>
    <x v="43"/>
  </r>
  <r>
    <n v="150"/>
    <x v="149"/>
    <x v="2"/>
    <x v="1"/>
    <x v="5"/>
    <x v="9"/>
    <n v="50"/>
    <x v="27"/>
  </r>
  <r>
    <n v="151"/>
    <x v="150"/>
    <x v="3"/>
    <x v="0"/>
    <x v="2"/>
    <x v="0"/>
    <n v="8000"/>
    <x v="36"/>
  </r>
  <r>
    <n v="152"/>
    <x v="151"/>
    <x v="9"/>
    <x v="1"/>
    <x v="6"/>
    <x v="7"/>
    <n v="500"/>
    <x v="51"/>
  </r>
  <r>
    <n v="153"/>
    <x v="152"/>
    <x v="5"/>
    <x v="3"/>
    <x v="0"/>
    <x v="9"/>
    <n v="120"/>
    <x v="45"/>
  </r>
  <r>
    <n v="154"/>
    <x v="153"/>
    <x v="8"/>
    <x v="1"/>
    <x v="1"/>
    <x v="3"/>
    <n v="100"/>
    <x v="22"/>
  </r>
  <r>
    <n v="155"/>
    <x v="154"/>
    <x v="1"/>
    <x v="1"/>
    <x v="1"/>
    <x v="6"/>
    <n v="600"/>
    <x v="9"/>
  </r>
  <r>
    <n v="156"/>
    <x v="155"/>
    <x v="6"/>
    <x v="2"/>
    <x v="2"/>
    <x v="8"/>
    <n v="8000"/>
    <x v="31"/>
  </r>
  <r>
    <n v="157"/>
    <x v="156"/>
    <x v="9"/>
    <x v="1"/>
    <x v="1"/>
    <x v="0"/>
    <n v="100"/>
    <x v="6"/>
  </r>
  <r>
    <n v="158"/>
    <x v="157"/>
    <x v="8"/>
    <x v="1"/>
    <x v="5"/>
    <x v="5"/>
    <n v="230"/>
    <x v="25"/>
  </r>
  <r>
    <n v="159"/>
    <x v="158"/>
    <x v="3"/>
    <x v="0"/>
    <x v="2"/>
    <x v="5"/>
    <n v="500"/>
    <x v="33"/>
  </r>
  <r>
    <n v="160"/>
    <x v="159"/>
    <x v="2"/>
    <x v="3"/>
    <x v="1"/>
    <x v="9"/>
    <n v="600"/>
    <x v="34"/>
  </r>
  <r>
    <n v="161"/>
    <x v="160"/>
    <x v="4"/>
    <x v="2"/>
    <x v="6"/>
    <x v="8"/>
    <n v="500"/>
    <x v="44"/>
  </r>
  <r>
    <n v="162"/>
    <x v="161"/>
    <x v="3"/>
    <x v="1"/>
    <x v="5"/>
    <x v="9"/>
    <n v="500"/>
    <x v="23"/>
  </r>
  <r>
    <n v="163"/>
    <x v="162"/>
    <x v="6"/>
    <x v="2"/>
    <x v="3"/>
    <x v="1"/>
    <n v="100"/>
    <x v="27"/>
  </r>
  <r>
    <n v="164"/>
    <x v="163"/>
    <x v="0"/>
    <x v="2"/>
    <x v="3"/>
    <x v="7"/>
    <n v="600"/>
    <x v="38"/>
  </r>
  <r>
    <n v="165"/>
    <x v="164"/>
    <x v="9"/>
    <x v="3"/>
    <x v="5"/>
    <x v="5"/>
    <n v="120"/>
    <x v="54"/>
  </r>
  <r>
    <n v="166"/>
    <x v="165"/>
    <x v="6"/>
    <x v="0"/>
    <x v="1"/>
    <x v="8"/>
    <n v="50"/>
    <x v="55"/>
  </r>
  <r>
    <n v="167"/>
    <x v="166"/>
    <x v="7"/>
    <x v="0"/>
    <x v="2"/>
    <x v="3"/>
    <n v="8000"/>
    <x v="4"/>
  </r>
  <r>
    <n v="168"/>
    <x v="167"/>
    <x v="3"/>
    <x v="3"/>
    <x v="6"/>
    <x v="2"/>
    <n v="120"/>
    <x v="5"/>
  </r>
  <r>
    <n v="169"/>
    <x v="168"/>
    <x v="4"/>
    <x v="2"/>
    <x v="3"/>
    <x v="3"/>
    <n v="50"/>
    <x v="0"/>
  </r>
  <r>
    <n v="170"/>
    <x v="169"/>
    <x v="0"/>
    <x v="2"/>
    <x v="4"/>
    <x v="4"/>
    <n v="600"/>
    <x v="17"/>
  </r>
  <r>
    <n v="171"/>
    <x v="170"/>
    <x v="8"/>
    <x v="3"/>
    <x v="2"/>
    <x v="5"/>
    <n v="600"/>
    <x v="52"/>
  </r>
  <r>
    <n v="172"/>
    <x v="171"/>
    <x v="8"/>
    <x v="1"/>
    <x v="1"/>
    <x v="0"/>
    <n v="500"/>
    <x v="0"/>
  </r>
  <r>
    <n v="173"/>
    <x v="172"/>
    <x v="3"/>
    <x v="0"/>
    <x v="6"/>
    <x v="9"/>
    <n v="100"/>
    <x v="46"/>
  </r>
  <r>
    <n v="174"/>
    <x v="173"/>
    <x v="6"/>
    <x v="3"/>
    <x v="0"/>
    <x v="7"/>
    <n v="230"/>
    <x v="32"/>
  </r>
  <r>
    <n v="175"/>
    <x v="174"/>
    <x v="5"/>
    <x v="2"/>
    <x v="4"/>
    <x v="0"/>
    <n v="50"/>
    <x v="3"/>
  </r>
  <r>
    <n v="176"/>
    <x v="175"/>
    <x v="6"/>
    <x v="3"/>
    <x v="5"/>
    <x v="0"/>
    <n v="600"/>
    <x v="12"/>
  </r>
  <r>
    <n v="177"/>
    <x v="176"/>
    <x v="5"/>
    <x v="1"/>
    <x v="5"/>
    <x v="2"/>
    <n v="120"/>
    <x v="5"/>
  </r>
  <r>
    <n v="178"/>
    <x v="177"/>
    <x v="4"/>
    <x v="2"/>
    <x v="1"/>
    <x v="7"/>
    <n v="50"/>
    <x v="29"/>
  </r>
  <r>
    <n v="179"/>
    <x v="178"/>
    <x v="3"/>
    <x v="3"/>
    <x v="5"/>
    <x v="3"/>
    <n v="120"/>
    <x v="17"/>
  </r>
  <r>
    <n v="180"/>
    <x v="179"/>
    <x v="3"/>
    <x v="3"/>
    <x v="2"/>
    <x v="9"/>
    <n v="8000"/>
    <x v="56"/>
  </r>
  <r>
    <n v="181"/>
    <x v="180"/>
    <x v="1"/>
    <x v="0"/>
    <x v="4"/>
    <x v="8"/>
    <n v="8000"/>
    <x v="31"/>
  </r>
  <r>
    <n v="182"/>
    <x v="181"/>
    <x v="0"/>
    <x v="3"/>
    <x v="6"/>
    <x v="4"/>
    <n v="100"/>
    <x v="1"/>
  </r>
  <r>
    <n v="183"/>
    <x v="182"/>
    <x v="9"/>
    <x v="1"/>
    <x v="3"/>
    <x v="4"/>
    <n v="50"/>
    <x v="6"/>
  </r>
  <r>
    <n v="184"/>
    <x v="183"/>
    <x v="5"/>
    <x v="1"/>
    <x v="1"/>
    <x v="4"/>
    <n v="50"/>
    <x v="6"/>
  </r>
  <r>
    <n v="185"/>
    <x v="184"/>
    <x v="2"/>
    <x v="3"/>
    <x v="2"/>
    <x v="0"/>
    <n v="500"/>
    <x v="0"/>
  </r>
  <r>
    <n v="186"/>
    <x v="185"/>
    <x v="5"/>
    <x v="0"/>
    <x v="6"/>
    <x v="5"/>
    <n v="500"/>
    <x v="33"/>
  </r>
  <r>
    <n v="187"/>
    <x v="186"/>
    <x v="9"/>
    <x v="3"/>
    <x v="4"/>
    <x v="0"/>
    <n v="230"/>
    <x v="26"/>
  </r>
  <r>
    <n v="188"/>
    <x v="187"/>
    <x v="0"/>
    <x v="0"/>
    <x v="0"/>
    <x v="3"/>
    <n v="100"/>
    <x v="22"/>
  </r>
  <r>
    <n v="189"/>
    <x v="188"/>
    <x v="0"/>
    <x v="2"/>
    <x v="2"/>
    <x v="2"/>
    <n v="120"/>
    <x v="5"/>
  </r>
  <r>
    <n v="190"/>
    <x v="189"/>
    <x v="2"/>
    <x v="0"/>
    <x v="5"/>
    <x v="3"/>
    <n v="230"/>
    <x v="11"/>
  </r>
  <r>
    <n v="191"/>
    <x v="190"/>
    <x v="3"/>
    <x v="2"/>
    <x v="1"/>
    <x v="7"/>
    <n v="50"/>
    <x v="29"/>
  </r>
  <r>
    <n v="192"/>
    <x v="191"/>
    <x v="6"/>
    <x v="1"/>
    <x v="3"/>
    <x v="8"/>
    <n v="230"/>
    <x v="41"/>
  </r>
  <r>
    <n v="193"/>
    <x v="192"/>
    <x v="7"/>
    <x v="3"/>
    <x v="0"/>
    <x v="6"/>
    <n v="100"/>
    <x v="39"/>
  </r>
  <r>
    <n v="194"/>
    <x v="193"/>
    <x v="1"/>
    <x v="3"/>
    <x v="6"/>
    <x v="1"/>
    <n v="8000"/>
    <x v="49"/>
  </r>
  <r>
    <n v="195"/>
    <x v="194"/>
    <x v="5"/>
    <x v="2"/>
    <x v="5"/>
    <x v="0"/>
    <n v="230"/>
    <x v="26"/>
  </r>
  <r>
    <n v="196"/>
    <x v="195"/>
    <x v="3"/>
    <x v="0"/>
    <x v="6"/>
    <x v="5"/>
    <n v="120"/>
    <x v="54"/>
  </r>
  <r>
    <n v="197"/>
    <x v="196"/>
    <x v="0"/>
    <x v="2"/>
    <x v="0"/>
    <x v="6"/>
    <n v="230"/>
    <x v="42"/>
  </r>
  <r>
    <n v="198"/>
    <x v="197"/>
    <x v="3"/>
    <x v="1"/>
    <x v="0"/>
    <x v="6"/>
    <n v="230"/>
    <x v="42"/>
  </r>
  <r>
    <n v="199"/>
    <x v="198"/>
    <x v="1"/>
    <x v="2"/>
    <x v="0"/>
    <x v="2"/>
    <n v="50"/>
    <x v="8"/>
  </r>
  <r>
    <n v="200"/>
    <x v="199"/>
    <x v="1"/>
    <x v="1"/>
    <x v="1"/>
    <x v="5"/>
    <n v="600"/>
    <x v="52"/>
  </r>
  <r>
    <n v="201"/>
    <x v="200"/>
    <x v="2"/>
    <x v="1"/>
    <x v="1"/>
    <x v="5"/>
    <n v="100"/>
    <x v="8"/>
  </r>
  <r>
    <n v="202"/>
    <x v="201"/>
    <x v="0"/>
    <x v="2"/>
    <x v="3"/>
    <x v="9"/>
    <n v="120"/>
    <x v="45"/>
  </r>
  <r>
    <n v="203"/>
    <x v="202"/>
    <x v="5"/>
    <x v="2"/>
    <x v="0"/>
    <x v="6"/>
    <n v="230"/>
    <x v="42"/>
  </r>
  <r>
    <n v="204"/>
    <x v="203"/>
    <x v="6"/>
    <x v="0"/>
    <x v="0"/>
    <x v="2"/>
    <n v="8000"/>
    <x v="2"/>
  </r>
  <r>
    <n v="205"/>
    <x v="204"/>
    <x v="7"/>
    <x v="1"/>
    <x v="3"/>
    <x v="4"/>
    <n v="100"/>
    <x v="1"/>
  </r>
  <r>
    <n v="206"/>
    <x v="205"/>
    <x v="7"/>
    <x v="2"/>
    <x v="2"/>
    <x v="8"/>
    <n v="120"/>
    <x v="57"/>
  </r>
  <r>
    <n v="207"/>
    <x v="206"/>
    <x v="3"/>
    <x v="0"/>
    <x v="5"/>
    <x v="1"/>
    <n v="50"/>
    <x v="1"/>
  </r>
  <r>
    <n v="208"/>
    <x v="207"/>
    <x v="7"/>
    <x v="2"/>
    <x v="4"/>
    <x v="1"/>
    <n v="8000"/>
    <x v="49"/>
  </r>
  <r>
    <n v="209"/>
    <x v="208"/>
    <x v="7"/>
    <x v="1"/>
    <x v="3"/>
    <x v="4"/>
    <n v="120"/>
    <x v="18"/>
  </r>
  <r>
    <n v="210"/>
    <x v="209"/>
    <x v="0"/>
    <x v="1"/>
    <x v="3"/>
    <x v="2"/>
    <n v="600"/>
    <x v="30"/>
  </r>
  <r>
    <n v="211"/>
    <x v="210"/>
    <x v="8"/>
    <x v="0"/>
    <x v="3"/>
    <x v="5"/>
    <n v="120"/>
    <x v="54"/>
  </r>
  <r>
    <n v="212"/>
    <x v="211"/>
    <x v="2"/>
    <x v="3"/>
    <x v="0"/>
    <x v="0"/>
    <n v="8000"/>
    <x v="36"/>
  </r>
  <r>
    <n v="213"/>
    <x v="212"/>
    <x v="9"/>
    <x v="0"/>
    <x v="3"/>
    <x v="3"/>
    <n v="50"/>
    <x v="0"/>
  </r>
  <r>
    <n v="214"/>
    <x v="213"/>
    <x v="2"/>
    <x v="1"/>
    <x v="0"/>
    <x v="4"/>
    <n v="120"/>
    <x v="18"/>
  </r>
  <r>
    <n v="215"/>
    <x v="214"/>
    <x v="9"/>
    <x v="2"/>
    <x v="5"/>
    <x v="9"/>
    <n v="100"/>
    <x v="46"/>
  </r>
  <r>
    <n v="216"/>
    <x v="215"/>
    <x v="7"/>
    <x v="0"/>
    <x v="0"/>
    <x v="3"/>
    <n v="50"/>
    <x v="0"/>
  </r>
  <r>
    <n v="217"/>
    <x v="216"/>
    <x v="2"/>
    <x v="1"/>
    <x v="1"/>
    <x v="5"/>
    <n v="50"/>
    <x v="7"/>
  </r>
  <r>
    <n v="218"/>
    <x v="217"/>
    <x v="5"/>
    <x v="3"/>
    <x v="6"/>
    <x v="3"/>
    <n v="8000"/>
    <x v="4"/>
  </r>
  <r>
    <n v="219"/>
    <x v="218"/>
    <x v="0"/>
    <x v="3"/>
    <x v="4"/>
    <x v="7"/>
    <n v="500"/>
    <x v="51"/>
  </r>
  <r>
    <n v="220"/>
    <x v="219"/>
    <x v="5"/>
    <x v="3"/>
    <x v="4"/>
    <x v="2"/>
    <n v="50"/>
    <x v="8"/>
  </r>
  <r>
    <n v="221"/>
    <x v="220"/>
    <x v="5"/>
    <x v="2"/>
    <x v="1"/>
    <x v="4"/>
    <n v="600"/>
    <x v="17"/>
  </r>
  <r>
    <n v="222"/>
    <x v="221"/>
    <x v="0"/>
    <x v="3"/>
    <x v="6"/>
    <x v="3"/>
    <n v="100"/>
    <x v="22"/>
  </r>
  <r>
    <n v="223"/>
    <x v="222"/>
    <x v="4"/>
    <x v="3"/>
    <x v="3"/>
    <x v="9"/>
    <n v="600"/>
    <x v="34"/>
  </r>
  <r>
    <n v="224"/>
    <x v="223"/>
    <x v="4"/>
    <x v="3"/>
    <x v="0"/>
    <x v="7"/>
    <n v="500"/>
    <x v="51"/>
  </r>
  <r>
    <n v="225"/>
    <x v="224"/>
    <x v="2"/>
    <x v="2"/>
    <x v="6"/>
    <x v="6"/>
    <n v="230"/>
    <x v="42"/>
  </r>
  <r>
    <n v="226"/>
    <x v="225"/>
    <x v="9"/>
    <x v="1"/>
    <x v="6"/>
    <x v="3"/>
    <n v="50"/>
    <x v="0"/>
  </r>
  <r>
    <n v="227"/>
    <x v="226"/>
    <x v="6"/>
    <x v="3"/>
    <x v="0"/>
    <x v="8"/>
    <n v="500"/>
    <x v="44"/>
  </r>
  <r>
    <n v="228"/>
    <x v="227"/>
    <x v="1"/>
    <x v="3"/>
    <x v="0"/>
    <x v="8"/>
    <n v="500"/>
    <x v="44"/>
  </r>
  <r>
    <n v="229"/>
    <x v="228"/>
    <x v="0"/>
    <x v="0"/>
    <x v="4"/>
    <x v="4"/>
    <n v="100"/>
    <x v="1"/>
  </r>
  <r>
    <n v="230"/>
    <x v="229"/>
    <x v="2"/>
    <x v="1"/>
    <x v="1"/>
    <x v="4"/>
    <n v="8000"/>
    <x v="47"/>
  </r>
  <r>
    <n v="231"/>
    <x v="230"/>
    <x v="7"/>
    <x v="3"/>
    <x v="0"/>
    <x v="8"/>
    <n v="100"/>
    <x v="13"/>
  </r>
  <r>
    <n v="232"/>
    <x v="231"/>
    <x v="4"/>
    <x v="3"/>
    <x v="5"/>
    <x v="9"/>
    <n v="8000"/>
    <x v="56"/>
  </r>
  <r>
    <n v="233"/>
    <x v="232"/>
    <x v="8"/>
    <x v="2"/>
    <x v="3"/>
    <x v="9"/>
    <n v="8000"/>
    <x v="56"/>
  </r>
  <r>
    <n v="234"/>
    <x v="233"/>
    <x v="2"/>
    <x v="3"/>
    <x v="1"/>
    <x v="9"/>
    <n v="230"/>
    <x v="14"/>
  </r>
  <r>
    <n v="235"/>
    <x v="234"/>
    <x v="1"/>
    <x v="2"/>
    <x v="3"/>
    <x v="3"/>
    <n v="120"/>
    <x v="17"/>
  </r>
  <r>
    <n v="236"/>
    <x v="235"/>
    <x v="3"/>
    <x v="1"/>
    <x v="4"/>
    <x v="1"/>
    <n v="500"/>
    <x v="28"/>
  </r>
  <r>
    <n v="237"/>
    <x v="236"/>
    <x v="0"/>
    <x v="3"/>
    <x v="4"/>
    <x v="8"/>
    <n v="600"/>
    <x v="19"/>
  </r>
  <r>
    <n v="238"/>
    <x v="237"/>
    <x v="9"/>
    <x v="3"/>
    <x v="1"/>
    <x v="4"/>
    <n v="230"/>
    <x v="58"/>
  </r>
  <r>
    <n v="239"/>
    <x v="238"/>
    <x v="5"/>
    <x v="1"/>
    <x v="4"/>
    <x v="2"/>
    <n v="230"/>
    <x v="20"/>
  </r>
  <r>
    <n v="240"/>
    <x v="239"/>
    <x v="1"/>
    <x v="3"/>
    <x v="2"/>
    <x v="9"/>
    <n v="500"/>
    <x v="23"/>
  </r>
  <r>
    <n v="241"/>
    <x v="240"/>
    <x v="0"/>
    <x v="1"/>
    <x v="1"/>
    <x v="1"/>
    <n v="230"/>
    <x v="15"/>
  </r>
  <r>
    <n v="242"/>
    <x v="241"/>
    <x v="9"/>
    <x v="1"/>
    <x v="0"/>
    <x v="7"/>
    <n v="230"/>
    <x v="32"/>
  </r>
  <r>
    <n v="243"/>
    <x v="242"/>
    <x v="8"/>
    <x v="3"/>
    <x v="1"/>
    <x v="0"/>
    <n v="600"/>
    <x v="12"/>
  </r>
  <r>
    <n v="244"/>
    <x v="243"/>
    <x v="7"/>
    <x v="0"/>
    <x v="6"/>
    <x v="8"/>
    <n v="600"/>
    <x v="19"/>
  </r>
  <r>
    <n v="245"/>
    <x v="244"/>
    <x v="9"/>
    <x v="2"/>
    <x v="1"/>
    <x v="3"/>
    <n v="50"/>
    <x v="0"/>
  </r>
  <r>
    <n v="246"/>
    <x v="245"/>
    <x v="9"/>
    <x v="1"/>
    <x v="5"/>
    <x v="2"/>
    <n v="8000"/>
    <x v="2"/>
  </r>
  <r>
    <n v="247"/>
    <x v="246"/>
    <x v="0"/>
    <x v="3"/>
    <x v="6"/>
    <x v="5"/>
    <n v="100"/>
    <x v="8"/>
  </r>
  <r>
    <n v="248"/>
    <x v="247"/>
    <x v="1"/>
    <x v="2"/>
    <x v="6"/>
    <x v="9"/>
    <n v="100"/>
    <x v="46"/>
  </r>
  <r>
    <n v="249"/>
    <x v="248"/>
    <x v="8"/>
    <x v="2"/>
    <x v="5"/>
    <x v="6"/>
    <n v="120"/>
    <x v="43"/>
  </r>
  <r>
    <n v="250"/>
    <x v="249"/>
    <x v="3"/>
    <x v="3"/>
    <x v="1"/>
    <x v="9"/>
    <n v="50"/>
    <x v="27"/>
  </r>
  <r>
    <n v="251"/>
    <x v="250"/>
    <x v="8"/>
    <x v="1"/>
    <x v="1"/>
    <x v="5"/>
    <n v="8000"/>
    <x v="50"/>
  </r>
  <r>
    <n v="252"/>
    <x v="251"/>
    <x v="7"/>
    <x v="3"/>
    <x v="1"/>
    <x v="9"/>
    <n v="100"/>
    <x v="46"/>
  </r>
  <r>
    <n v="253"/>
    <x v="252"/>
    <x v="2"/>
    <x v="3"/>
    <x v="5"/>
    <x v="5"/>
    <n v="8000"/>
    <x v="50"/>
  </r>
  <r>
    <n v="254"/>
    <x v="253"/>
    <x v="4"/>
    <x v="1"/>
    <x v="4"/>
    <x v="7"/>
    <n v="600"/>
    <x v="38"/>
  </r>
  <r>
    <n v="255"/>
    <x v="254"/>
    <x v="8"/>
    <x v="2"/>
    <x v="2"/>
    <x v="0"/>
    <n v="600"/>
    <x v="12"/>
  </r>
  <r>
    <n v="256"/>
    <x v="255"/>
    <x v="5"/>
    <x v="3"/>
    <x v="2"/>
    <x v="8"/>
    <n v="230"/>
    <x v="41"/>
  </r>
  <r>
    <n v="257"/>
    <x v="256"/>
    <x v="0"/>
    <x v="0"/>
    <x v="6"/>
    <x v="9"/>
    <n v="100"/>
    <x v="46"/>
  </r>
  <r>
    <n v="258"/>
    <x v="257"/>
    <x v="9"/>
    <x v="3"/>
    <x v="5"/>
    <x v="7"/>
    <n v="50"/>
    <x v="29"/>
  </r>
  <r>
    <n v="259"/>
    <x v="258"/>
    <x v="2"/>
    <x v="2"/>
    <x v="2"/>
    <x v="2"/>
    <n v="120"/>
    <x v="5"/>
  </r>
  <r>
    <n v="260"/>
    <x v="259"/>
    <x v="9"/>
    <x v="1"/>
    <x v="5"/>
    <x v="5"/>
    <n v="8000"/>
    <x v="50"/>
  </r>
  <r>
    <n v="261"/>
    <x v="260"/>
    <x v="2"/>
    <x v="0"/>
    <x v="0"/>
    <x v="5"/>
    <n v="120"/>
    <x v="54"/>
  </r>
  <r>
    <n v="262"/>
    <x v="261"/>
    <x v="1"/>
    <x v="1"/>
    <x v="6"/>
    <x v="5"/>
    <n v="120"/>
    <x v="54"/>
  </r>
  <r>
    <n v="263"/>
    <x v="262"/>
    <x v="3"/>
    <x v="1"/>
    <x v="5"/>
    <x v="2"/>
    <n v="100"/>
    <x v="12"/>
  </r>
  <r>
    <n v="264"/>
    <x v="263"/>
    <x v="9"/>
    <x v="3"/>
    <x v="3"/>
    <x v="4"/>
    <n v="120"/>
    <x v="18"/>
  </r>
  <r>
    <n v="265"/>
    <x v="264"/>
    <x v="1"/>
    <x v="3"/>
    <x v="1"/>
    <x v="4"/>
    <n v="230"/>
    <x v="58"/>
  </r>
  <r>
    <n v="266"/>
    <x v="265"/>
    <x v="2"/>
    <x v="3"/>
    <x v="5"/>
    <x v="2"/>
    <n v="600"/>
    <x v="30"/>
  </r>
  <r>
    <n v="267"/>
    <x v="266"/>
    <x v="3"/>
    <x v="0"/>
    <x v="3"/>
    <x v="8"/>
    <n v="500"/>
    <x v="44"/>
  </r>
  <r>
    <n v="268"/>
    <x v="267"/>
    <x v="3"/>
    <x v="2"/>
    <x v="0"/>
    <x v="8"/>
    <n v="600"/>
    <x v="19"/>
  </r>
  <r>
    <n v="269"/>
    <x v="268"/>
    <x v="8"/>
    <x v="2"/>
    <x v="4"/>
    <x v="6"/>
    <n v="600"/>
    <x v="9"/>
  </r>
  <r>
    <n v="270"/>
    <x v="269"/>
    <x v="8"/>
    <x v="3"/>
    <x v="5"/>
    <x v="1"/>
    <n v="100"/>
    <x v="27"/>
  </r>
  <r>
    <n v="271"/>
    <x v="270"/>
    <x v="5"/>
    <x v="0"/>
    <x v="1"/>
    <x v="1"/>
    <n v="120"/>
    <x v="35"/>
  </r>
  <r>
    <n v="272"/>
    <x v="271"/>
    <x v="0"/>
    <x v="3"/>
    <x v="0"/>
    <x v="1"/>
    <n v="100"/>
    <x v="27"/>
  </r>
  <r>
    <n v="273"/>
    <x v="272"/>
    <x v="8"/>
    <x v="1"/>
    <x v="3"/>
    <x v="8"/>
    <n v="500"/>
    <x v="44"/>
  </r>
  <r>
    <n v="274"/>
    <x v="273"/>
    <x v="4"/>
    <x v="3"/>
    <x v="5"/>
    <x v="1"/>
    <n v="50"/>
    <x v="1"/>
  </r>
  <r>
    <n v="275"/>
    <x v="274"/>
    <x v="7"/>
    <x v="2"/>
    <x v="0"/>
    <x v="5"/>
    <n v="100"/>
    <x v="8"/>
  </r>
  <r>
    <n v="276"/>
    <x v="275"/>
    <x v="9"/>
    <x v="1"/>
    <x v="2"/>
    <x v="7"/>
    <n v="8000"/>
    <x v="24"/>
  </r>
  <r>
    <n v="277"/>
    <x v="276"/>
    <x v="3"/>
    <x v="3"/>
    <x v="5"/>
    <x v="2"/>
    <n v="500"/>
    <x v="38"/>
  </r>
  <r>
    <n v="278"/>
    <x v="277"/>
    <x v="3"/>
    <x v="0"/>
    <x v="0"/>
    <x v="7"/>
    <n v="230"/>
    <x v="32"/>
  </r>
  <r>
    <n v="279"/>
    <x v="278"/>
    <x v="3"/>
    <x v="2"/>
    <x v="5"/>
    <x v="1"/>
    <n v="50"/>
    <x v="1"/>
  </r>
  <r>
    <n v="280"/>
    <x v="279"/>
    <x v="1"/>
    <x v="3"/>
    <x v="1"/>
    <x v="6"/>
    <n v="500"/>
    <x v="48"/>
  </r>
  <r>
    <n v="281"/>
    <x v="280"/>
    <x v="4"/>
    <x v="3"/>
    <x v="2"/>
    <x v="8"/>
    <n v="230"/>
    <x v="41"/>
  </r>
  <r>
    <n v="282"/>
    <x v="281"/>
    <x v="3"/>
    <x v="3"/>
    <x v="2"/>
    <x v="2"/>
    <n v="500"/>
    <x v="38"/>
  </r>
  <r>
    <n v="283"/>
    <x v="282"/>
    <x v="9"/>
    <x v="3"/>
    <x v="6"/>
    <x v="8"/>
    <n v="500"/>
    <x v="44"/>
  </r>
  <r>
    <n v="284"/>
    <x v="283"/>
    <x v="6"/>
    <x v="1"/>
    <x v="4"/>
    <x v="0"/>
    <n v="50"/>
    <x v="3"/>
  </r>
  <r>
    <n v="285"/>
    <x v="284"/>
    <x v="6"/>
    <x v="2"/>
    <x v="2"/>
    <x v="7"/>
    <n v="50"/>
    <x v="29"/>
  </r>
  <r>
    <n v="286"/>
    <x v="285"/>
    <x v="6"/>
    <x v="3"/>
    <x v="2"/>
    <x v="7"/>
    <n v="50"/>
    <x v="29"/>
  </r>
  <r>
    <n v="287"/>
    <x v="286"/>
    <x v="3"/>
    <x v="1"/>
    <x v="5"/>
    <x v="7"/>
    <n v="600"/>
    <x v="38"/>
  </r>
  <r>
    <n v="288"/>
    <x v="287"/>
    <x v="4"/>
    <x v="0"/>
    <x v="4"/>
    <x v="3"/>
    <n v="600"/>
    <x v="40"/>
  </r>
  <r>
    <n v="289"/>
    <x v="288"/>
    <x v="7"/>
    <x v="0"/>
    <x v="1"/>
    <x v="2"/>
    <n v="50"/>
    <x v="8"/>
  </r>
  <r>
    <n v="290"/>
    <x v="289"/>
    <x v="7"/>
    <x v="2"/>
    <x v="6"/>
    <x v="5"/>
    <n v="8000"/>
    <x v="50"/>
  </r>
  <r>
    <n v="291"/>
    <x v="290"/>
    <x v="2"/>
    <x v="0"/>
    <x v="0"/>
    <x v="8"/>
    <n v="500"/>
    <x v="44"/>
  </r>
  <r>
    <n v="292"/>
    <x v="291"/>
    <x v="4"/>
    <x v="3"/>
    <x v="5"/>
    <x v="6"/>
    <n v="100"/>
    <x v="39"/>
  </r>
  <r>
    <n v="293"/>
    <x v="292"/>
    <x v="2"/>
    <x v="0"/>
    <x v="2"/>
    <x v="6"/>
    <n v="500"/>
    <x v="48"/>
  </r>
  <r>
    <n v="294"/>
    <x v="293"/>
    <x v="9"/>
    <x v="0"/>
    <x v="4"/>
    <x v="6"/>
    <n v="8000"/>
    <x v="21"/>
  </r>
  <r>
    <n v="295"/>
    <x v="294"/>
    <x v="8"/>
    <x v="3"/>
    <x v="4"/>
    <x v="4"/>
    <n v="600"/>
    <x v="17"/>
  </r>
  <r>
    <n v="296"/>
    <x v="295"/>
    <x v="1"/>
    <x v="2"/>
    <x v="2"/>
    <x v="4"/>
    <n v="50"/>
    <x v="6"/>
  </r>
  <r>
    <n v="297"/>
    <x v="296"/>
    <x v="5"/>
    <x v="0"/>
    <x v="4"/>
    <x v="7"/>
    <n v="500"/>
    <x v="51"/>
  </r>
  <r>
    <n v="298"/>
    <x v="297"/>
    <x v="8"/>
    <x v="1"/>
    <x v="2"/>
    <x v="0"/>
    <n v="230"/>
    <x v="26"/>
  </r>
  <r>
    <n v="299"/>
    <x v="298"/>
    <x v="1"/>
    <x v="2"/>
    <x v="1"/>
    <x v="1"/>
    <n v="600"/>
    <x v="16"/>
  </r>
  <r>
    <n v="300"/>
    <x v="299"/>
    <x v="7"/>
    <x v="3"/>
    <x v="1"/>
    <x v="1"/>
    <n v="230"/>
    <x v="15"/>
  </r>
  <r>
    <n v="301"/>
    <x v="300"/>
    <x v="9"/>
    <x v="0"/>
    <x v="4"/>
    <x v="9"/>
    <n v="8000"/>
    <x v="56"/>
  </r>
  <r>
    <n v="302"/>
    <x v="301"/>
    <x v="9"/>
    <x v="2"/>
    <x v="0"/>
    <x v="0"/>
    <n v="8000"/>
    <x v="36"/>
  </r>
  <r>
    <n v="303"/>
    <x v="302"/>
    <x v="0"/>
    <x v="3"/>
    <x v="3"/>
    <x v="3"/>
    <n v="8000"/>
    <x v="4"/>
  </r>
  <r>
    <n v="304"/>
    <x v="303"/>
    <x v="0"/>
    <x v="0"/>
    <x v="6"/>
    <x v="3"/>
    <n v="50"/>
    <x v="0"/>
  </r>
  <r>
    <n v="305"/>
    <x v="304"/>
    <x v="9"/>
    <x v="1"/>
    <x v="2"/>
    <x v="3"/>
    <n v="100"/>
    <x v="22"/>
  </r>
  <r>
    <n v="306"/>
    <x v="305"/>
    <x v="7"/>
    <x v="3"/>
    <x v="2"/>
    <x v="9"/>
    <n v="50"/>
    <x v="27"/>
  </r>
  <r>
    <n v="307"/>
    <x v="306"/>
    <x v="6"/>
    <x v="2"/>
    <x v="1"/>
    <x v="3"/>
    <n v="120"/>
    <x v="17"/>
  </r>
  <r>
    <n v="308"/>
    <x v="307"/>
    <x v="2"/>
    <x v="3"/>
    <x v="3"/>
    <x v="2"/>
    <n v="230"/>
    <x v="20"/>
  </r>
  <r>
    <n v="309"/>
    <x v="308"/>
    <x v="5"/>
    <x v="2"/>
    <x v="2"/>
    <x v="1"/>
    <n v="600"/>
    <x v="16"/>
  </r>
  <r>
    <n v="310"/>
    <x v="309"/>
    <x v="8"/>
    <x v="3"/>
    <x v="5"/>
    <x v="3"/>
    <n v="8000"/>
    <x v="4"/>
  </r>
  <r>
    <n v="311"/>
    <x v="310"/>
    <x v="1"/>
    <x v="3"/>
    <x v="4"/>
    <x v="2"/>
    <n v="120"/>
    <x v="5"/>
  </r>
  <r>
    <n v="312"/>
    <x v="311"/>
    <x v="4"/>
    <x v="2"/>
    <x v="4"/>
    <x v="8"/>
    <n v="230"/>
    <x v="41"/>
  </r>
  <r>
    <n v="313"/>
    <x v="312"/>
    <x v="8"/>
    <x v="1"/>
    <x v="4"/>
    <x v="9"/>
    <n v="600"/>
    <x v="34"/>
  </r>
  <r>
    <n v="314"/>
    <x v="313"/>
    <x v="9"/>
    <x v="1"/>
    <x v="3"/>
    <x v="1"/>
    <n v="50"/>
    <x v="1"/>
  </r>
  <r>
    <n v="315"/>
    <x v="314"/>
    <x v="1"/>
    <x v="0"/>
    <x v="5"/>
    <x v="9"/>
    <n v="8000"/>
    <x v="56"/>
  </r>
  <r>
    <n v="316"/>
    <x v="315"/>
    <x v="1"/>
    <x v="2"/>
    <x v="4"/>
    <x v="4"/>
    <n v="500"/>
    <x v="22"/>
  </r>
  <r>
    <n v="317"/>
    <x v="316"/>
    <x v="5"/>
    <x v="1"/>
    <x v="6"/>
    <x v="4"/>
    <n v="8000"/>
    <x v="47"/>
  </r>
  <r>
    <n v="318"/>
    <x v="317"/>
    <x v="7"/>
    <x v="2"/>
    <x v="4"/>
    <x v="4"/>
    <n v="100"/>
    <x v="1"/>
  </r>
  <r>
    <n v="319"/>
    <x v="318"/>
    <x v="7"/>
    <x v="2"/>
    <x v="4"/>
    <x v="6"/>
    <n v="120"/>
    <x v="43"/>
  </r>
  <r>
    <n v="320"/>
    <x v="319"/>
    <x v="9"/>
    <x v="0"/>
    <x v="3"/>
    <x v="3"/>
    <n v="600"/>
    <x v="40"/>
  </r>
  <r>
    <n v="321"/>
    <x v="320"/>
    <x v="7"/>
    <x v="1"/>
    <x v="5"/>
    <x v="5"/>
    <n v="500"/>
    <x v="33"/>
  </r>
  <r>
    <n v="322"/>
    <x v="321"/>
    <x v="7"/>
    <x v="3"/>
    <x v="1"/>
    <x v="9"/>
    <n v="230"/>
    <x v="14"/>
  </r>
  <r>
    <n v="323"/>
    <x v="322"/>
    <x v="6"/>
    <x v="1"/>
    <x v="3"/>
    <x v="3"/>
    <n v="8000"/>
    <x v="4"/>
  </r>
  <r>
    <n v="324"/>
    <x v="323"/>
    <x v="9"/>
    <x v="3"/>
    <x v="3"/>
    <x v="1"/>
    <n v="120"/>
    <x v="35"/>
  </r>
  <r>
    <n v="325"/>
    <x v="324"/>
    <x v="5"/>
    <x v="0"/>
    <x v="1"/>
    <x v="9"/>
    <n v="8000"/>
    <x v="56"/>
  </r>
  <r>
    <n v="326"/>
    <x v="325"/>
    <x v="6"/>
    <x v="3"/>
    <x v="4"/>
    <x v="2"/>
    <n v="600"/>
    <x v="30"/>
  </r>
  <r>
    <n v="327"/>
    <x v="326"/>
    <x v="7"/>
    <x v="2"/>
    <x v="4"/>
    <x v="3"/>
    <n v="50"/>
    <x v="0"/>
  </r>
  <r>
    <n v="328"/>
    <x v="327"/>
    <x v="4"/>
    <x v="3"/>
    <x v="5"/>
    <x v="4"/>
    <n v="600"/>
    <x v="17"/>
  </r>
  <r>
    <n v="329"/>
    <x v="328"/>
    <x v="6"/>
    <x v="2"/>
    <x v="6"/>
    <x v="5"/>
    <n v="120"/>
    <x v="54"/>
  </r>
  <r>
    <n v="330"/>
    <x v="329"/>
    <x v="7"/>
    <x v="3"/>
    <x v="2"/>
    <x v="3"/>
    <n v="500"/>
    <x v="10"/>
  </r>
  <r>
    <n v="331"/>
    <x v="330"/>
    <x v="3"/>
    <x v="0"/>
    <x v="6"/>
    <x v="8"/>
    <n v="120"/>
    <x v="57"/>
  </r>
  <r>
    <n v="332"/>
    <x v="331"/>
    <x v="3"/>
    <x v="3"/>
    <x v="4"/>
    <x v="7"/>
    <n v="8000"/>
    <x v="24"/>
  </r>
  <r>
    <n v="333"/>
    <x v="332"/>
    <x v="0"/>
    <x v="0"/>
    <x v="5"/>
    <x v="3"/>
    <n v="600"/>
    <x v="40"/>
  </r>
  <r>
    <n v="334"/>
    <x v="333"/>
    <x v="0"/>
    <x v="0"/>
    <x v="6"/>
    <x v="7"/>
    <n v="8000"/>
    <x v="24"/>
  </r>
  <r>
    <n v="335"/>
    <x v="334"/>
    <x v="6"/>
    <x v="2"/>
    <x v="0"/>
    <x v="7"/>
    <n v="600"/>
    <x v="38"/>
  </r>
  <r>
    <n v="336"/>
    <x v="335"/>
    <x v="8"/>
    <x v="0"/>
    <x v="5"/>
    <x v="6"/>
    <n v="100"/>
    <x v="39"/>
  </r>
  <r>
    <n v="337"/>
    <x v="336"/>
    <x v="3"/>
    <x v="0"/>
    <x v="6"/>
    <x v="0"/>
    <n v="120"/>
    <x v="53"/>
  </r>
  <r>
    <n v="338"/>
    <x v="337"/>
    <x v="5"/>
    <x v="3"/>
    <x v="5"/>
    <x v="8"/>
    <n v="50"/>
    <x v="55"/>
  </r>
  <r>
    <n v="339"/>
    <x v="338"/>
    <x v="7"/>
    <x v="1"/>
    <x v="0"/>
    <x v="3"/>
    <n v="500"/>
    <x v="10"/>
  </r>
  <r>
    <n v="340"/>
    <x v="339"/>
    <x v="6"/>
    <x v="1"/>
    <x v="1"/>
    <x v="0"/>
    <n v="600"/>
    <x v="12"/>
  </r>
  <r>
    <n v="341"/>
    <x v="340"/>
    <x v="2"/>
    <x v="1"/>
    <x v="2"/>
    <x v="7"/>
    <n v="8000"/>
    <x v="24"/>
  </r>
  <r>
    <n v="342"/>
    <x v="341"/>
    <x v="1"/>
    <x v="1"/>
    <x v="0"/>
    <x v="4"/>
    <n v="230"/>
    <x v="58"/>
  </r>
  <r>
    <n v="343"/>
    <x v="342"/>
    <x v="4"/>
    <x v="1"/>
    <x v="2"/>
    <x v="7"/>
    <n v="8000"/>
    <x v="24"/>
  </r>
  <r>
    <n v="344"/>
    <x v="343"/>
    <x v="4"/>
    <x v="1"/>
    <x v="4"/>
    <x v="6"/>
    <n v="120"/>
    <x v="43"/>
  </r>
  <r>
    <n v="345"/>
    <x v="344"/>
    <x v="6"/>
    <x v="3"/>
    <x v="3"/>
    <x v="4"/>
    <n v="500"/>
    <x v="22"/>
  </r>
  <r>
    <n v="346"/>
    <x v="345"/>
    <x v="9"/>
    <x v="3"/>
    <x v="2"/>
    <x v="3"/>
    <n v="120"/>
    <x v="17"/>
  </r>
  <r>
    <n v="347"/>
    <x v="346"/>
    <x v="8"/>
    <x v="1"/>
    <x v="3"/>
    <x v="8"/>
    <n v="100"/>
    <x v="13"/>
  </r>
  <r>
    <n v="348"/>
    <x v="347"/>
    <x v="4"/>
    <x v="0"/>
    <x v="0"/>
    <x v="9"/>
    <n v="8000"/>
    <x v="56"/>
  </r>
  <r>
    <n v="349"/>
    <x v="348"/>
    <x v="8"/>
    <x v="1"/>
    <x v="2"/>
    <x v="9"/>
    <n v="100"/>
    <x v="46"/>
  </r>
  <r>
    <n v="350"/>
    <x v="349"/>
    <x v="3"/>
    <x v="0"/>
    <x v="1"/>
    <x v="3"/>
    <n v="230"/>
    <x v="11"/>
  </r>
  <r>
    <n v="351"/>
    <x v="350"/>
    <x v="3"/>
    <x v="0"/>
    <x v="0"/>
    <x v="7"/>
    <n v="8000"/>
    <x v="24"/>
  </r>
  <r>
    <n v="352"/>
    <x v="351"/>
    <x v="4"/>
    <x v="0"/>
    <x v="2"/>
    <x v="8"/>
    <n v="600"/>
    <x v="19"/>
  </r>
  <r>
    <n v="353"/>
    <x v="352"/>
    <x v="8"/>
    <x v="2"/>
    <x v="0"/>
    <x v="6"/>
    <n v="600"/>
    <x v="9"/>
  </r>
  <r>
    <n v="354"/>
    <x v="353"/>
    <x v="4"/>
    <x v="1"/>
    <x v="4"/>
    <x v="4"/>
    <n v="8000"/>
    <x v="47"/>
  </r>
  <r>
    <n v="355"/>
    <x v="354"/>
    <x v="4"/>
    <x v="1"/>
    <x v="2"/>
    <x v="2"/>
    <n v="500"/>
    <x v="38"/>
  </r>
  <r>
    <n v="356"/>
    <x v="355"/>
    <x v="2"/>
    <x v="1"/>
    <x v="6"/>
    <x v="1"/>
    <n v="120"/>
    <x v="35"/>
  </r>
  <r>
    <n v="357"/>
    <x v="356"/>
    <x v="7"/>
    <x v="2"/>
    <x v="0"/>
    <x v="1"/>
    <n v="8000"/>
    <x v="49"/>
  </r>
  <r>
    <n v="358"/>
    <x v="357"/>
    <x v="0"/>
    <x v="0"/>
    <x v="2"/>
    <x v="3"/>
    <n v="230"/>
    <x v="11"/>
  </r>
  <r>
    <n v="359"/>
    <x v="358"/>
    <x v="2"/>
    <x v="3"/>
    <x v="2"/>
    <x v="7"/>
    <n v="500"/>
    <x v="51"/>
  </r>
  <r>
    <n v="360"/>
    <x v="359"/>
    <x v="7"/>
    <x v="0"/>
    <x v="3"/>
    <x v="5"/>
    <n v="600"/>
    <x v="52"/>
  </r>
  <r>
    <n v="361"/>
    <x v="360"/>
    <x v="4"/>
    <x v="0"/>
    <x v="4"/>
    <x v="8"/>
    <n v="50"/>
    <x v="55"/>
  </r>
  <r>
    <n v="362"/>
    <x v="361"/>
    <x v="0"/>
    <x v="0"/>
    <x v="5"/>
    <x v="9"/>
    <n v="600"/>
    <x v="34"/>
  </r>
  <r>
    <n v="363"/>
    <x v="362"/>
    <x v="8"/>
    <x v="2"/>
    <x v="3"/>
    <x v="1"/>
    <n v="50"/>
    <x v="1"/>
  </r>
  <r>
    <n v="364"/>
    <x v="363"/>
    <x v="3"/>
    <x v="3"/>
    <x v="2"/>
    <x v="0"/>
    <n v="50"/>
    <x v="3"/>
  </r>
  <r>
    <n v="365"/>
    <x v="364"/>
    <x v="0"/>
    <x v="3"/>
    <x v="2"/>
    <x v="8"/>
    <n v="600"/>
    <x v="19"/>
  </r>
  <r>
    <n v="366"/>
    <x v="365"/>
    <x v="4"/>
    <x v="1"/>
    <x v="4"/>
    <x v="5"/>
    <n v="120"/>
    <x v="54"/>
  </r>
  <r>
    <n v="367"/>
    <x v="366"/>
    <x v="3"/>
    <x v="3"/>
    <x v="0"/>
    <x v="9"/>
    <n v="8000"/>
    <x v="56"/>
  </r>
  <r>
    <n v="368"/>
    <x v="367"/>
    <x v="7"/>
    <x v="0"/>
    <x v="2"/>
    <x v="7"/>
    <n v="600"/>
    <x v="38"/>
  </r>
  <r>
    <n v="369"/>
    <x v="368"/>
    <x v="7"/>
    <x v="3"/>
    <x v="1"/>
    <x v="7"/>
    <n v="600"/>
    <x v="38"/>
  </r>
  <r>
    <n v="370"/>
    <x v="369"/>
    <x v="8"/>
    <x v="1"/>
    <x v="2"/>
    <x v="1"/>
    <n v="600"/>
    <x v="16"/>
  </r>
  <r>
    <n v="371"/>
    <x v="370"/>
    <x v="0"/>
    <x v="1"/>
    <x v="3"/>
    <x v="0"/>
    <n v="230"/>
    <x v="26"/>
  </r>
  <r>
    <n v="372"/>
    <x v="371"/>
    <x v="0"/>
    <x v="2"/>
    <x v="3"/>
    <x v="3"/>
    <n v="500"/>
    <x v="10"/>
  </r>
  <r>
    <n v="373"/>
    <x v="372"/>
    <x v="4"/>
    <x v="0"/>
    <x v="3"/>
    <x v="7"/>
    <n v="500"/>
    <x v="51"/>
  </r>
  <r>
    <n v="374"/>
    <x v="373"/>
    <x v="7"/>
    <x v="1"/>
    <x v="0"/>
    <x v="2"/>
    <n v="100"/>
    <x v="12"/>
  </r>
  <r>
    <n v="375"/>
    <x v="374"/>
    <x v="4"/>
    <x v="0"/>
    <x v="0"/>
    <x v="8"/>
    <n v="120"/>
    <x v="57"/>
  </r>
  <r>
    <n v="376"/>
    <x v="375"/>
    <x v="5"/>
    <x v="1"/>
    <x v="1"/>
    <x v="0"/>
    <n v="8000"/>
    <x v="36"/>
  </r>
  <r>
    <n v="377"/>
    <x v="376"/>
    <x v="4"/>
    <x v="3"/>
    <x v="6"/>
    <x v="6"/>
    <n v="230"/>
    <x v="42"/>
  </r>
  <r>
    <n v="378"/>
    <x v="377"/>
    <x v="7"/>
    <x v="0"/>
    <x v="0"/>
    <x v="7"/>
    <n v="100"/>
    <x v="0"/>
  </r>
  <r>
    <n v="379"/>
    <x v="378"/>
    <x v="7"/>
    <x v="3"/>
    <x v="6"/>
    <x v="8"/>
    <n v="8000"/>
    <x v="31"/>
  </r>
  <r>
    <n v="380"/>
    <x v="379"/>
    <x v="3"/>
    <x v="2"/>
    <x v="6"/>
    <x v="8"/>
    <n v="50"/>
    <x v="55"/>
  </r>
  <r>
    <n v="381"/>
    <x v="380"/>
    <x v="1"/>
    <x v="1"/>
    <x v="2"/>
    <x v="9"/>
    <n v="50"/>
    <x v="27"/>
  </r>
  <r>
    <n v="382"/>
    <x v="381"/>
    <x v="3"/>
    <x v="2"/>
    <x v="3"/>
    <x v="5"/>
    <n v="50"/>
    <x v="7"/>
  </r>
  <r>
    <n v="383"/>
    <x v="382"/>
    <x v="2"/>
    <x v="3"/>
    <x v="4"/>
    <x v="6"/>
    <n v="600"/>
    <x v="9"/>
  </r>
  <r>
    <n v="384"/>
    <x v="383"/>
    <x v="5"/>
    <x v="1"/>
    <x v="0"/>
    <x v="6"/>
    <n v="600"/>
    <x v="9"/>
  </r>
  <r>
    <n v="385"/>
    <x v="384"/>
    <x v="1"/>
    <x v="3"/>
    <x v="4"/>
    <x v="4"/>
    <n v="600"/>
    <x v="17"/>
  </r>
  <r>
    <n v="386"/>
    <x v="385"/>
    <x v="1"/>
    <x v="0"/>
    <x v="1"/>
    <x v="4"/>
    <n v="100"/>
    <x v="1"/>
  </r>
  <r>
    <n v="387"/>
    <x v="386"/>
    <x v="8"/>
    <x v="1"/>
    <x v="2"/>
    <x v="6"/>
    <n v="230"/>
    <x v="42"/>
  </r>
  <r>
    <n v="388"/>
    <x v="387"/>
    <x v="1"/>
    <x v="2"/>
    <x v="4"/>
    <x v="4"/>
    <n v="230"/>
    <x v="58"/>
  </r>
  <r>
    <n v="389"/>
    <x v="388"/>
    <x v="7"/>
    <x v="0"/>
    <x v="5"/>
    <x v="9"/>
    <n v="100"/>
    <x v="46"/>
  </r>
  <r>
    <n v="390"/>
    <x v="389"/>
    <x v="4"/>
    <x v="0"/>
    <x v="6"/>
    <x v="0"/>
    <n v="600"/>
    <x v="12"/>
  </r>
  <r>
    <n v="391"/>
    <x v="390"/>
    <x v="0"/>
    <x v="1"/>
    <x v="3"/>
    <x v="9"/>
    <n v="100"/>
    <x v="46"/>
  </r>
  <r>
    <n v="392"/>
    <x v="391"/>
    <x v="7"/>
    <x v="3"/>
    <x v="6"/>
    <x v="6"/>
    <n v="8000"/>
    <x v="21"/>
  </r>
  <r>
    <n v="393"/>
    <x v="392"/>
    <x v="3"/>
    <x v="2"/>
    <x v="2"/>
    <x v="9"/>
    <n v="500"/>
    <x v="23"/>
  </r>
  <r>
    <n v="394"/>
    <x v="393"/>
    <x v="7"/>
    <x v="1"/>
    <x v="4"/>
    <x v="5"/>
    <n v="500"/>
    <x v="33"/>
  </r>
  <r>
    <n v="395"/>
    <x v="394"/>
    <x v="7"/>
    <x v="0"/>
    <x v="1"/>
    <x v="3"/>
    <n v="230"/>
    <x v="11"/>
  </r>
  <r>
    <n v="396"/>
    <x v="395"/>
    <x v="6"/>
    <x v="2"/>
    <x v="5"/>
    <x v="3"/>
    <n v="500"/>
    <x v="10"/>
  </r>
  <r>
    <n v="397"/>
    <x v="396"/>
    <x v="2"/>
    <x v="3"/>
    <x v="4"/>
    <x v="3"/>
    <n v="230"/>
    <x v="11"/>
  </r>
  <r>
    <n v="398"/>
    <x v="397"/>
    <x v="5"/>
    <x v="1"/>
    <x v="4"/>
    <x v="2"/>
    <n v="8000"/>
    <x v="2"/>
  </r>
  <r>
    <n v="399"/>
    <x v="398"/>
    <x v="8"/>
    <x v="1"/>
    <x v="0"/>
    <x v="4"/>
    <n v="50"/>
    <x v="6"/>
  </r>
  <r>
    <n v="400"/>
    <x v="399"/>
    <x v="2"/>
    <x v="2"/>
    <x v="6"/>
    <x v="7"/>
    <n v="120"/>
    <x v="12"/>
  </r>
  <r>
    <n v="401"/>
    <x v="400"/>
    <x v="4"/>
    <x v="2"/>
    <x v="0"/>
    <x v="3"/>
    <n v="500"/>
    <x v="10"/>
  </r>
  <r>
    <n v="402"/>
    <x v="401"/>
    <x v="9"/>
    <x v="1"/>
    <x v="0"/>
    <x v="7"/>
    <n v="120"/>
    <x v="12"/>
  </r>
  <r>
    <n v="403"/>
    <x v="402"/>
    <x v="2"/>
    <x v="0"/>
    <x v="4"/>
    <x v="7"/>
    <n v="100"/>
    <x v="0"/>
  </r>
  <r>
    <n v="404"/>
    <x v="403"/>
    <x v="7"/>
    <x v="3"/>
    <x v="4"/>
    <x v="0"/>
    <n v="500"/>
    <x v="0"/>
  </r>
  <r>
    <n v="405"/>
    <x v="404"/>
    <x v="3"/>
    <x v="1"/>
    <x v="0"/>
    <x v="6"/>
    <n v="600"/>
    <x v="9"/>
  </r>
  <r>
    <n v="406"/>
    <x v="405"/>
    <x v="1"/>
    <x v="2"/>
    <x v="1"/>
    <x v="9"/>
    <n v="230"/>
    <x v="14"/>
  </r>
  <r>
    <n v="407"/>
    <x v="406"/>
    <x v="7"/>
    <x v="3"/>
    <x v="0"/>
    <x v="3"/>
    <n v="230"/>
    <x v="11"/>
  </r>
  <r>
    <n v="408"/>
    <x v="407"/>
    <x v="2"/>
    <x v="0"/>
    <x v="1"/>
    <x v="8"/>
    <n v="230"/>
    <x v="41"/>
  </r>
  <r>
    <n v="409"/>
    <x v="408"/>
    <x v="0"/>
    <x v="0"/>
    <x v="0"/>
    <x v="5"/>
    <n v="120"/>
    <x v="54"/>
  </r>
  <r>
    <n v="410"/>
    <x v="409"/>
    <x v="3"/>
    <x v="3"/>
    <x v="3"/>
    <x v="3"/>
    <n v="230"/>
    <x v="11"/>
  </r>
  <r>
    <n v="411"/>
    <x v="410"/>
    <x v="7"/>
    <x v="2"/>
    <x v="4"/>
    <x v="4"/>
    <n v="600"/>
    <x v="17"/>
  </r>
  <r>
    <n v="412"/>
    <x v="411"/>
    <x v="4"/>
    <x v="2"/>
    <x v="1"/>
    <x v="1"/>
    <n v="8000"/>
    <x v="49"/>
  </r>
  <r>
    <n v="413"/>
    <x v="412"/>
    <x v="4"/>
    <x v="3"/>
    <x v="6"/>
    <x v="3"/>
    <n v="500"/>
    <x v="10"/>
  </r>
  <r>
    <n v="414"/>
    <x v="413"/>
    <x v="3"/>
    <x v="1"/>
    <x v="4"/>
    <x v="2"/>
    <n v="120"/>
    <x v="5"/>
  </r>
  <r>
    <n v="415"/>
    <x v="414"/>
    <x v="8"/>
    <x v="3"/>
    <x v="4"/>
    <x v="0"/>
    <n v="8000"/>
    <x v="36"/>
  </r>
  <r>
    <n v="416"/>
    <x v="415"/>
    <x v="8"/>
    <x v="0"/>
    <x v="6"/>
    <x v="5"/>
    <n v="120"/>
    <x v="54"/>
  </r>
  <r>
    <n v="417"/>
    <x v="416"/>
    <x v="4"/>
    <x v="0"/>
    <x v="2"/>
    <x v="6"/>
    <n v="100"/>
    <x v="39"/>
  </r>
  <r>
    <n v="418"/>
    <x v="417"/>
    <x v="8"/>
    <x v="2"/>
    <x v="4"/>
    <x v="2"/>
    <n v="100"/>
    <x v="12"/>
  </r>
  <r>
    <n v="419"/>
    <x v="418"/>
    <x v="0"/>
    <x v="0"/>
    <x v="6"/>
    <x v="4"/>
    <n v="500"/>
    <x v="22"/>
  </r>
  <r>
    <n v="420"/>
    <x v="419"/>
    <x v="4"/>
    <x v="3"/>
    <x v="3"/>
    <x v="1"/>
    <n v="500"/>
    <x v="28"/>
  </r>
  <r>
    <n v="421"/>
    <x v="420"/>
    <x v="6"/>
    <x v="2"/>
    <x v="0"/>
    <x v="2"/>
    <n v="100"/>
    <x v="12"/>
  </r>
  <r>
    <n v="422"/>
    <x v="421"/>
    <x v="8"/>
    <x v="3"/>
    <x v="0"/>
    <x v="2"/>
    <n v="600"/>
    <x v="30"/>
  </r>
  <r>
    <n v="423"/>
    <x v="422"/>
    <x v="4"/>
    <x v="1"/>
    <x v="1"/>
    <x v="5"/>
    <n v="500"/>
    <x v="33"/>
  </r>
  <r>
    <n v="424"/>
    <x v="423"/>
    <x v="7"/>
    <x v="2"/>
    <x v="0"/>
    <x v="3"/>
    <n v="120"/>
    <x v="17"/>
  </r>
  <r>
    <n v="425"/>
    <x v="424"/>
    <x v="3"/>
    <x v="2"/>
    <x v="0"/>
    <x v="4"/>
    <n v="8000"/>
    <x v="47"/>
  </r>
  <r>
    <n v="426"/>
    <x v="425"/>
    <x v="4"/>
    <x v="0"/>
    <x v="0"/>
    <x v="0"/>
    <n v="230"/>
    <x v="26"/>
  </r>
  <r>
    <n v="427"/>
    <x v="426"/>
    <x v="8"/>
    <x v="2"/>
    <x v="1"/>
    <x v="9"/>
    <n v="600"/>
    <x v="34"/>
  </r>
  <r>
    <n v="428"/>
    <x v="427"/>
    <x v="6"/>
    <x v="0"/>
    <x v="6"/>
    <x v="1"/>
    <n v="50"/>
    <x v="1"/>
  </r>
  <r>
    <n v="429"/>
    <x v="428"/>
    <x v="8"/>
    <x v="1"/>
    <x v="0"/>
    <x v="5"/>
    <n v="600"/>
    <x v="52"/>
  </r>
  <r>
    <n v="430"/>
    <x v="429"/>
    <x v="8"/>
    <x v="3"/>
    <x v="5"/>
    <x v="2"/>
    <n v="100"/>
    <x v="12"/>
  </r>
  <r>
    <n v="431"/>
    <x v="430"/>
    <x v="5"/>
    <x v="1"/>
    <x v="1"/>
    <x v="9"/>
    <n v="500"/>
    <x v="23"/>
  </r>
  <r>
    <n v="432"/>
    <x v="431"/>
    <x v="4"/>
    <x v="3"/>
    <x v="3"/>
    <x v="8"/>
    <n v="230"/>
    <x v="41"/>
  </r>
  <r>
    <n v="433"/>
    <x v="432"/>
    <x v="0"/>
    <x v="3"/>
    <x v="3"/>
    <x v="8"/>
    <n v="230"/>
    <x v="41"/>
  </r>
  <r>
    <n v="434"/>
    <x v="433"/>
    <x v="1"/>
    <x v="0"/>
    <x v="0"/>
    <x v="5"/>
    <n v="500"/>
    <x v="33"/>
  </r>
  <r>
    <n v="435"/>
    <x v="434"/>
    <x v="4"/>
    <x v="0"/>
    <x v="0"/>
    <x v="3"/>
    <n v="230"/>
    <x v="11"/>
  </r>
  <r>
    <n v="436"/>
    <x v="435"/>
    <x v="2"/>
    <x v="1"/>
    <x v="1"/>
    <x v="4"/>
    <n v="230"/>
    <x v="58"/>
  </r>
  <r>
    <n v="437"/>
    <x v="436"/>
    <x v="2"/>
    <x v="0"/>
    <x v="2"/>
    <x v="8"/>
    <n v="8000"/>
    <x v="31"/>
  </r>
  <r>
    <n v="438"/>
    <x v="437"/>
    <x v="7"/>
    <x v="1"/>
    <x v="2"/>
    <x v="9"/>
    <n v="100"/>
    <x v="46"/>
  </r>
  <r>
    <n v="439"/>
    <x v="438"/>
    <x v="4"/>
    <x v="0"/>
    <x v="2"/>
    <x v="3"/>
    <n v="50"/>
    <x v="0"/>
  </r>
  <r>
    <n v="440"/>
    <x v="439"/>
    <x v="4"/>
    <x v="1"/>
    <x v="6"/>
    <x v="7"/>
    <n v="600"/>
    <x v="38"/>
  </r>
  <r>
    <n v="441"/>
    <x v="440"/>
    <x v="2"/>
    <x v="2"/>
    <x v="4"/>
    <x v="5"/>
    <n v="230"/>
    <x v="25"/>
  </r>
  <r>
    <n v="442"/>
    <x v="441"/>
    <x v="0"/>
    <x v="3"/>
    <x v="5"/>
    <x v="2"/>
    <n v="120"/>
    <x v="5"/>
  </r>
  <r>
    <n v="443"/>
    <x v="442"/>
    <x v="9"/>
    <x v="0"/>
    <x v="2"/>
    <x v="9"/>
    <n v="120"/>
    <x v="45"/>
  </r>
  <r>
    <n v="444"/>
    <x v="443"/>
    <x v="1"/>
    <x v="2"/>
    <x v="4"/>
    <x v="1"/>
    <n v="50"/>
    <x v="1"/>
  </r>
  <r>
    <n v="445"/>
    <x v="444"/>
    <x v="3"/>
    <x v="3"/>
    <x v="4"/>
    <x v="0"/>
    <n v="230"/>
    <x v="26"/>
  </r>
  <r>
    <n v="446"/>
    <x v="445"/>
    <x v="6"/>
    <x v="2"/>
    <x v="5"/>
    <x v="8"/>
    <n v="500"/>
    <x v="44"/>
  </r>
  <r>
    <n v="447"/>
    <x v="446"/>
    <x v="0"/>
    <x v="0"/>
    <x v="1"/>
    <x v="3"/>
    <n v="120"/>
    <x v="17"/>
  </r>
  <r>
    <n v="448"/>
    <x v="447"/>
    <x v="4"/>
    <x v="1"/>
    <x v="0"/>
    <x v="9"/>
    <n v="120"/>
    <x v="45"/>
  </r>
  <r>
    <n v="449"/>
    <x v="448"/>
    <x v="9"/>
    <x v="0"/>
    <x v="1"/>
    <x v="1"/>
    <n v="120"/>
    <x v="35"/>
  </r>
  <r>
    <n v="450"/>
    <x v="449"/>
    <x v="8"/>
    <x v="0"/>
    <x v="3"/>
    <x v="6"/>
    <n v="8000"/>
    <x v="21"/>
  </r>
  <r>
    <n v="451"/>
    <x v="450"/>
    <x v="0"/>
    <x v="1"/>
    <x v="6"/>
    <x v="1"/>
    <n v="8000"/>
    <x v="49"/>
  </r>
  <r>
    <n v="452"/>
    <x v="451"/>
    <x v="1"/>
    <x v="3"/>
    <x v="6"/>
    <x v="5"/>
    <n v="100"/>
    <x v="8"/>
  </r>
  <r>
    <n v="453"/>
    <x v="452"/>
    <x v="4"/>
    <x v="3"/>
    <x v="1"/>
    <x v="7"/>
    <n v="600"/>
    <x v="38"/>
  </r>
  <r>
    <n v="454"/>
    <x v="453"/>
    <x v="6"/>
    <x v="3"/>
    <x v="1"/>
    <x v="7"/>
    <n v="500"/>
    <x v="51"/>
  </r>
  <r>
    <n v="455"/>
    <x v="454"/>
    <x v="7"/>
    <x v="1"/>
    <x v="2"/>
    <x v="6"/>
    <n v="100"/>
    <x v="39"/>
  </r>
  <r>
    <n v="456"/>
    <x v="455"/>
    <x v="1"/>
    <x v="2"/>
    <x v="0"/>
    <x v="1"/>
    <n v="230"/>
    <x v="15"/>
  </r>
  <r>
    <n v="457"/>
    <x v="456"/>
    <x v="9"/>
    <x v="0"/>
    <x v="5"/>
    <x v="3"/>
    <n v="230"/>
    <x v="11"/>
  </r>
  <r>
    <n v="458"/>
    <x v="457"/>
    <x v="6"/>
    <x v="2"/>
    <x v="3"/>
    <x v="2"/>
    <n v="50"/>
    <x v="8"/>
  </r>
  <r>
    <n v="459"/>
    <x v="458"/>
    <x v="7"/>
    <x v="0"/>
    <x v="4"/>
    <x v="2"/>
    <n v="230"/>
    <x v="20"/>
  </r>
  <r>
    <n v="460"/>
    <x v="459"/>
    <x v="7"/>
    <x v="2"/>
    <x v="2"/>
    <x v="1"/>
    <n v="8000"/>
    <x v="49"/>
  </r>
  <r>
    <n v="461"/>
    <x v="460"/>
    <x v="0"/>
    <x v="1"/>
    <x v="2"/>
    <x v="9"/>
    <n v="120"/>
    <x v="45"/>
  </r>
  <r>
    <n v="462"/>
    <x v="461"/>
    <x v="5"/>
    <x v="1"/>
    <x v="1"/>
    <x v="9"/>
    <n v="50"/>
    <x v="27"/>
  </r>
  <r>
    <n v="463"/>
    <x v="462"/>
    <x v="2"/>
    <x v="3"/>
    <x v="3"/>
    <x v="0"/>
    <n v="600"/>
    <x v="12"/>
  </r>
  <r>
    <n v="464"/>
    <x v="463"/>
    <x v="0"/>
    <x v="3"/>
    <x v="1"/>
    <x v="4"/>
    <n v="50"/>
    <x v="6"/>
  </r>
  <r>
    <n v="465"/>
    <x v="464"/>
    <x v="6"/>
    <x v="2"/>
    <x v="5"/>
    <x v="5"/>
    <n v="600"/>
    <x v="52"/>
  </r>
  <r>
    <n v="466"/>
    <x v="465"/>
    <x v="6"/>
    <x v="0"/>
    <x v="2"/>
    <x v="6"/>
    <n v="500"/>
    <x v="48"/>
  </r>
  <r>
    <n v="467"/>
    <x v="466"/>
    <x v="9"/>
    <x v="1"/>
    <x v="4"/>
    <x v="9"/>
    <n v="230"/>
    <x v="14"/>
  </r>
  <r>
    <n v="468"/>
    <x v="467"/>
    <x v="6"/>
    <x v="1"/>
    <x v="4"/>
    <x v="6"/>
    <n v="230"/>
    <x v="42"/>
  </r>
  <r>
    <n v="469"/>
    <x v="468"/>
    <x v="1"/>
    <x v="1"/>
    <x v="4"/>
    <x v="6"/>
    <n v="500"/>
    <x v="48"/>
  </r>
  <r>
    <n v="470"/>
    <x v="469"/>
    <x v="1"/>
    <x v="1"/>
    <x v="3"/>
    <x v="5"/>
    <n v="50"/>
    <x v="7"/>
  </r>
  <r>
    <n v="471"/>
    <x v="470"/>
    <x v="2"/>
    <x v="3"/>
    <x v="0"/>
    <x v="7"/>
    <n v="50"/>
    <x v="29"/>
  </r>
  <r>
    <n v="472"/>
    <x v="471"/>
    <x v="0"/>
    <x v="2"/>
    <x v="0"/>
    <x v="5"/>
    <n v="230"/>
    <x v="25"/>
  </r>
  <r>
    <n v="473"/>
    <x v="472"/>
    <x v="3"/>
    <x v="2"/>
    <x v="3"/>
    <x v="5"/>
    <n v="8000"/>
    <x v="50"/>
  </r>
  <r>
    <n v="474"/>
    <x v="473"/>
    <x v="1"/>
    <x v="3"/>
    <x v="4"/>
    <x v="8"/>
    <n v="230"/>
    <x v="41"/>
  </r>
  <r>
    <n v="475"/>
    <x v="474"/>
    <x v="4"/>
    <x v="3"/>
    <x v="6"/>
    <x v="9"/>
    <n v="120"/>
    <x v="45"/>
  </r>
  <r>
    <n v="476"/>
    <x v="475"/>
    <x v="1"/>
    <x v="2"/>
    <x v="2"/>
    <x v="9"/>
    <n v="500"/>
    <x v="23"/>
  </r>
  <r>
    <n v="477"/>
    <x v="476"/>
    <x v="3"/>
    <x v="2"/>
    <x v="0"/>
    <x v="0"/>
    <n v="8000"/>
    <x v="36"/>
  </r>
  <r>
    <n v="478"/>
    <x v="477"/>
    <x v="1"/>
    <x v="1"/>
    <x v="6"/>
    <x v="8"/>
    <n v="50"/>
    <x v="55"/>
  </r>
  <r>
    <n v="479"/>
    <x v="478"/>
    <x v="2"/>
    <x v="2"/>
    <x v="0"/>
    <x v="5"/>
    <n v="600"/>
    <x v="52"/>
  </r>
  <r>
    <n v="480"/>
    <x v="479"/>
    <x v="6"/>
    <x v="2"/>
    <x v="3"/>
    <x v="7"/>
    <n v="500"/>
    <x v="51"/>
  </r>
  <r>
    <n v="481"/>
    <x v="480"/>
    <x v="9"/>
    <x v="2"/>
    <x v="1"/>
    <x v="8"/>
    <n v="100"/>
    <x v="13"/>
  </r>
  <r>
    <n v="482"/>
    <x v="481"/>
    <x v="9"/>
    <x v="1"/>
    <x v="1"/>
    <x v="1"/>
    <n v="230"/>
    <x v="15"/>
  </r>
  <r>
    <n v="483"/>
    <x v="482"/>
    <x v="1"/>
    <x v="2"/>
    <x v="2"/>
    <x v="7"/>
    <n v="600"/>
    <x v="38"/>
  </r>
  <r>
    <n v="484"/>
    <x v="483"/>
    <x v="4"/>
    <x v="3"/>
    <x v="2"/>
    <x v="6"/>
    <n v="500"/>
    <x v="48"/>
  </r>
  <r>
    <n v="485"/>
    <x v="484"/>
    <x v="3"/>
    <x v="2"/>
    <x v="3"/>
    <x v="2"/>
    <n v="50"/>
    <x v="8"/>
  </r>
  <r>
    <n v="486"/>
    <x v="485"/>
    <x v="3"/>
    <x v="1"/>
    <x v="5"/>
    <x v="8"/>
    <n v="100"/>
    <x v="13"/>
  </r>
  <r>
    <n v="487"/>
    <x v="486"/>
    <x v="4"/>
    <x v="3"/>
    <x v="5"/>
    <x v="7"/>
    <n v="8000"/>
    <x v="24"/>
  </r>
  <r>
    <n v="488"/>
    <x v="487"/>
    <x v="0"/>
    <x v="1"/>
    <x v="5"/>
    <x v="6"/>
    <n v="500"/>
    <x v="48"/>
  </r>
  <r>
    <n v="489"/>
    <x v="488"/>
    <x v="2"/>
    <x v="0"/>
    <x v="1"/>
    <x v="1"/>
    <n v="600"/>
    <x v="16"/>
  </r>
  <r>
    <n v="490"/>
    <x v="489"/>
    <x v="6"/>
    <x v="3"/>
    <x v="3"/>
    <x v="7"/>
    <n v="600"/>
    <x v="38"/>
  </r>
  <r>
    <n v="491"/>
    <x v="490"/>
    <x v="5"/>
    <x v="3"/>
    <x v="4"/>
    <x v="7"/>
    <n v="100"/>
    <x v="0"/>
  </r>
  <r>
    <n v="492"/>
    <x v="491"/>
    <x v="6"/>
    <x v="3"/>
    <x v="5"/>
    <x v="3"/>
    <n v="100"/>
    <x v="22"/>
  </r>
  <r>
    <n v="493"/>
    <x v="492"/>
    <x v="2"/>
    <x v="1"/>
    <x v="1"/>
    <x v="1"/>
    <n v="8000"/>
    <x v="49"/>
  </r>
  <r>
    <n v="494"/>
    <x v="493"/>
    <x v="8"/>
    <x v="0"/>
    <x v="2"/>
    <x v="4"/>
    <n v="50"/>
    <x v="6"/>
  </r>
  <r>
    <n v="495"/>
    <x v="494"/>
    <x v="2"/>
    <x v="0"/>
    <x v="6"/>
    <x v="5"/>
    <n v="100"/>
    <x v="8"/>
  </r>
  <r>
    <n v="496"/>
    <x v="495"/>
    <x v="4"/>
    <x v="2"/>
    <x v="5"/>
    <x v="0"/>
    <n v="120"/>
    <x v="53"/>
  </r>
  <r>
    <n v="497"/>
    <x v="496"/>
    <x v="2"/>
    <x v="1"/>
    <x v="3"/>
    <x v="0"/>
    <n v="230"/>
    <x v="26"/>
  </r>
  <r>
    <n v="498"/>
    <x v="497"/>
    <x v="3"/>
    <x v="1"/>
    <x v="3"/>
    <x v="6"/>
    <n v="230"/>
    <x v="42"/>
  </r>
  <r>
    <n v="499"/>
    <x v="498"/>
    <x v="0"/>
    <x v="0"/>
    <x v="2"/>
    <x v="4"/>
    <n v="230"/>
    <x v="58"/>
  </r>
  <r>
    <n v="500"/>
    <x v="499"/>
    <x v="4"/>
    <x v="0"/>
    <x v="3"/>
    <x v="4"/>
    <n v="500"/>
    <x v="2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9895F9-541F-4F75-89E5-A6CBA4B4411F}" name="PivotTable10"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7:B21"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h="1" x="3"/>
        <item x="0"/>
        <item t="default"/>
      </items>
    </pivotField>
    <pivotField showAll="0">
      <items count="8">
        <item x="6"/>
        <item x="3"/>
        <item x="1"/>
        <item x="4"/>
        <item x="5"/>
        <item x="2"/>
        <item x="0"/>
        <item t="default"/>
      </items>
    </pivotField>
    <pivotField dataField="1"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3"/>
    </i>
    <i t="grand">
      <x/>
    </i>
  </rowItems>
  <colItems count="1">
    <i/>
  </colItems>
  <dataFields count="1">
    <dataField name="Sum of Qty" fld="5" baseField="0" baseItem="0"/>
  </dataFields>
  <formats count="6">
    <format dxfId="233">
      <pivotArea type="all" dataOnly="0" outline="0" fieldPosition="0"/>
    </format>
    <format dxfId="230">
      <pivotArea outline="0" collapsedLevelsAreSubtotals="1" fieldPosition="0"/>
    </format>
    <format dxfId="229">
      <pivotArea field="3" type="button" dataOnly="0" labelOnly="1" outline="0" axis="axisRow" fieldPosition="0"/>
    </format>
    <format dxfId="228">
      <pivotArea dataOnly="0" labelOnly="1" fieldPosition="0">
        <references count="1">
          <reference field="3" count="0"/>
        </references>
      </pivotArea>
    </format>
    <format dxfId="227">
      <pivotArea dataOnly="0" labelOnly="1" grandRow="1" outline="0" fieldPosition="0"/>
    </format>
    <format dxfId="22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CA17CD-8FFE-4417-B836-CDBA8FD331AC}" name="PivotTable9"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K4:L8"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items count="11">
        <item x="3"/>
        <item x="8"/>
        <item x="4"/>
        <item x="9"/>
        <item x="1"/>
        <item x="0"/>
        <item x="2"/>
        <item x="5"/>
        <item x="6"/>
        <item x="7"/>
        <item t="default"/>
      </items>
    </pivotField>
    <pivotField axis="axisRow" showAll="0">
      <items count="5">
        <item x="1"/>
        <item x="2"/>
        <item h="1" x="3"/>
        <item x="0"/>
        <item t="default"/>
      </items>
    </pivotField>
    <pivotField showAll="0">
      <items count="8">
        <item x="6"/>
        <item x="3"/>
        <item x="1"/>
        <item x="4"/>
        <item x="5"/>
        <item x="2"/>
        <item x="0"/>
        <item t="default"/>
      </items>
    </pivotField>
    <pivotField dataField="1" showAll="0">
      <items count="11">
        <item x="0"/>
        <item x="4"/>
        <item x="5"/>
        <item x="1"/>
        <item x="7"/>
        <item x="2"/>
        <item x="8"/>
        <item x="9"/>
        <item x="6"/>
        <item x="3"/>
        <item t="default"/>
      </items>
    </pivotField>
    <pivotField showAll="0"/>
    <pivotField showAll="0">
      <items count="60">
        <item x="3"/>
        <item x="6"/>
        <item x="53"/>
        <item x="7"/>
        <item x="1"/>
        <item x="26"/>
        <item x="18"/>
        <item x="29"/>
        <item x="8"/>
        <item x="55"/>
        <item x="54"/>
        <item x="27"/>
        <item x="37"/>
        <item x="58"/>
        <item x="35"/>
        <item x="0"/>
        <item x="12"/>
        <item x="25"/>
        <item x="13"/>
        <item x="5"/>
        <item x="46"/>
        <item x="57"/>
        <item x="39"/>
        <item x="15"/>
        <item x="45"/>
        <item x="22"/>
        <item x="43"/>
        <item x="32"/>
        <item x="17"/>
        <item x="20"/>
        <item x="33"/>
        <item x="41"/>
        <item x="52"/>
        <item x="14"/>
        <item x="28"/>
        <item x="42"/>
        <item x="11"/>
        <item x="16"/>
        <item x="51"/>
        <item x="38"/>
        <item x="44"/>
        <item x="30"/>
        <item x="23"/>
        <item x="19"/>
        <item x="48"/>
        <item x="34"/>
        <item x="10"/>
        <item x="9"/>
        <item x="40"/>
        <item x="36"/>
        <item x="47"/>
        <item x="50"/>
        <item x="49"/>
        <item x="24"/>
        <item x="2"/>
        <item x="31"/>
        <item x="56"/>
        <item x="21"/>
        <item x="4"/>
        <item t="default"/>
      </items>
    </pivotField>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3"/>
  </rowFields>
  <rowItems count="4">
    <i>
      <x/>
    </i>
    <i>
      <x v="1"/>
    </i>
    <i>
      <x v="3"/>
    </i>
    <i t="grand">
      <x/>
    </i>
  </rowItems>
  <colItems count="1">
    <i/>
  </colItems>
  <dataFields count="1">
    <dataField name="Sum of Qty" fld="5" baseField="0" baseItem="0"/>
  </dataFields>
  <chartFormats count="5">
    <chartFormat chart="17" format="1"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3" count="1" selected="0">
            <x v="3"/>
          </reference>
        </references>
      </pivotArea>
    </chartFormat>
    <chartFormat chart="19" format="4">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BE0A2CC-B300-4A72-84D9-FA572CB56C8E}" name="PivotTable5"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27:B35"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h="1" x="3"/>
        <item x="0"/>
        <item t="default"/>
      </items>
    </pivotField>
    <pivotField axis="axisRow" showAll="0">
      <items count="8">
        <item x="6"/>
        <item x="3"/>
        <item x="1"/>
        <item x="4"/>
        <item x="5"/>
        <item x="2"/>
        <item x="0"/>
        <item t="default"/>
      </items>
    </pivotField>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8">
    <i>
      <x/>
    </i>
    <i>
      <x v="1"/>
    </i>
    <i>
      <x v="2"/>
    </i>
    <i>
      <x v="3"/>
    </i>
    <i>
      <x v="4"/>
    </i>
    <i>
      <x v="5"/>
    </i>
    <i>
      <x v="6"/>
    </i>
    <i t="grand">
      <x/>
    </i>
  </rowItems>
  <colItems count="1">
    <i/>
  </colItems>
  <dataFields count="1">
    <dataField name="Sum of Amount" fld="7" baseField="0" baseItem="0" numFmtId="171"/>
  </dataFields>
  <formats count="1">
    <format dxfId="418">
      <pivotArea outline="0" collapsedLevelsAreSubtotals="1" fieldPosition="0"/>
    </format>
  </formats>
  <chartFormats count="3">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6"/>
          </reference>
        </references>
      </pivotArea>
    </chartFormat>
    <chartFormat chart="3"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E05734F-B031-4611-9493-FAD6904259AF}" name="PivotTable4"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D4:E17"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showAll="0">
      <items count="5">
        <item x="1"/>
        <item x="2"/>
        <item h="1" x="3"/>
        <item x="0"/>
        <item t="default"/>
      </items>
    </pivotField>
    <pivotField showAll="0">
      <items count="8">
        <item x="6"/>
        <item x="3"/>
        <item x="1"/>
        <item x="4"/>
        <item x="5"/>
        <item x="2"/>
        <item x="0"/>
        <item t="default"/>
      </items>
    </pivotField>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sd="0"/>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71"/>
  </dataFields>
  <formats count="1">
    <format dxfId="416">
      <pivotArea outline="0" collapsedLevelsAreSubtotals="1" fieldPosition="0"/>
    </format>
  </format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D2A44F-5ECB-488B-8C01-2B987C761CAF}" name="PivotTable1" cacheId="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9:B13" firstHeaderRow="1" firstDataRow="1" firstDataCol="1"/>
  <pivotFields count="11">
    <pivotField showAll="0"/>
    <pivotField numFmtId="14" showAll="0">
      <items count="5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t="default"/>
      </items>
    </pivotField>
    <pivotField showAll="0"/>
    <pivotField axis="axisRow" showAll="0">
      <items count="5">
        <item x="1"/>
        <item x="2"/>
        <item h="1" x="3"/>
        <item x="0"/>
        <item t="default"/>
      </items>
    </pivotField>
    <pivotField showAll="0">
      <items count="8">
        <item x="6"/>
        <item x="3"/>
        <item x="1"/>
        <item x="4"/>
        <item x="5"/>
        <item x="2"/>
        <item x="0"/>
        <item t="default"/>
      </items>
    </pivotField>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4">
    <i>
      <x/>
    </i>
    <i>
      <x v="1"/>
    </i>
    <i>
      <x v="3"/>
    </i>
    <i t="grand">
      <x/>
    </i>
  </rowItems>
  <colItems count="1">
    <i/>
  </colItems>
  <dataFields count="1">
    <dataField name="Sum of Amount" fld="7" baseField="0" baseItem="0" numFmtId="171"/>
  </dataFields>
  <formats count="1">
    <format dxfId="417">
      <pivotArea outline="0" collapsedLevelsAreSubtotals="1" fieldPosition="0"/>
    </format>
  </formats>
  <chartFormats count="11">
    <chartFormat chart="5" format="2" series="1">
      <pivotArea type="data" outline="0" fieldPosition="0">
        <references count="1">
          <reference field="4294967294" count="1" selected="0">
            <x v="0"/>
          </reference>
        </references>
      </pivotArea>
    </chartFormat>
    <chartFormat chart="12" format="1" series="1">
      <pivotArea type="data" outline="0" fieldPosition="0">
        <references count="1">
          <reference field="4294967294" count="1" selected="0">
            <x v="0"/>
          </reference>
        </references>
      </pivotArea>
    </chartFormat>
    <chartFormat chart="12" format="2">
      <pivotArea type="data" outline="0" fieldPosition="0">
        <references count="2">
          <reference field="4294967294" count="1" selected="0">
            <x v="0"/>
          </reference>
          <reference field="3" count="1" selected="0">
            <x v="0"/>
          </reference>
        </references>
      </pivotArea>
    </chartFormat>
    <chartFormat chart="12" format="3">
      <pivotArea type="data" outline="0" fieldPosition="0">
        <references count="2">
          <reference field="4294967294" count="1" selected="0">
            <x v="0"/>
          </reference>
          <reference field="3" count="1" selected="0">
            <x v="1"/>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 chart="12" format="5">
      <pivotArea type="data" outline="0" fieldPosition="0">
        <references count="2">
          <reference field="4294967294" count="1" selected="0">
            <x v="0"/>
          </reference>
          <reference field="3" count="1" selected="0">
            <x v="3"/>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3" count="1" selected="0">
            <x v="0"/>
          </reference>
        </references>
      </pivotArea>
    </chartFormat>
    <chartFormat chart="13" format="8">
      <pivotArea type="data" outline="0" fieldPosition="0">
        <references count="2">
          <reference field="4294967294" count="1" selected="0">
            <x v="0"/>
          </reference>
          <reference field="3" count="1" selected="0">
            <x v="1"/>
          </reference>
        </references>
      </pivotArea>
    </chartFormat>
    <chartFormat chart="13" format="9">
      <pivotArea type="data" outline="0" fieldPosition="0">
        <references count="2">
          <reference field="4294967294" count="1" selected="0">
            <x v="0"/>
          </reference>
          <reference field="3" count="1" selected="0">
            <x v="2"/>
          </reference>
        </references>
      </pivotArea>
    </chartFormat>
    <chartFormat chart="13"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CDEEA00-0336-4C88-A661-46B596AA51F5}" sourceName="Region">
  <pivotTables>
    <pivotTable tabId="2" name="PivotTable4"/>
    <pivotTable tabId="2" name="PivotTable1"/>
    <pivotTable tabId="2" name="PivotTable5"/>
    <pivotTable tabId="2" name="PivotTable10"/>
    <pivotTable tabId="2" name="PivotTable9"/>
  </pivotTables>
  <data>
    <tabular pivotCacheId="1957266269">
      <items count="4">
        <i x="1" s="1"/>
        <i x="2" s="1"/>
        <i x="3"/>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BE315DC8-1DD0-4C45-9068-10BD3986C963}" sourceName="Item">
  <pivotTables>
    <pivotTable tabId="2" name="PivotTable1"/>
    <pivotTable tabId="2" name="PivotTable4"/>
    <pivotTable tabId="2" name="PivotTable5"/>
    <pivotTable tabId="2" name="PivotTable10"/>
    <pivotTable tabId="2" name="PivotTable9"/>
  </pivotTables>
  <data>
    <tabular pivotCacheId="1957266269">
      <items count="7">
        <i x="6" s="1"/>
        <i x="3" s="1"/>
        <i x="1" s="1"/>
        <i x="4" s="1"/>
        <i x="5"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ABB969A-8D13-4E69-AFA4-C73612C7127F}" sourceName="Months (Date)">
  <pivotTables>
    <pivotTable tabId="2" name="PivotTable4"/>
    <pivotTable tabId="2" name="PivotTable1"/>
    <pivotTable tabId="2" name="PivotTable10"/>
    <pivotTable tabId="2" name="PivotTable5"/>
    <pivotTable tabId="2" name="PivotTable9"/>
  </pivotTables>
  <data>
    <tabular pivotCacheId="1957266269">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9D4A47D-476B-45BC-A0C4-3EA43D018F98}" cache="Slicer_Region" caption="Region" style="SlicerStyleDark2" rowHeight="360000"/>
  <slicer name="Item" xr10:uid="{78D1A566-6765-4DBC-957B-599AF95942F9}" cache="Slicer_Item" caption="Item" columnCount="7" style="SlicerStyleDark2" rowHeight="257175"/>
  <slicer name="Months (Date)" xr10:uid="{7C9EDDC1-376C-4AEC-BE62-FA21DFE16907}" cache="Slicer_Months__Date" caption="Months (Date)" columnCount="2" style="SlicerStyleDark2"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4AED40-AC98-4E2B-A6C5-6B6ECE07EF89}" name="Table1" displayName="Table1" ref="A4:H504" totalsRowShown="0">
  <autoFilter ref="A4:H504" xr:uid="{094AED40-AC98-4E2B-A6C5-6B6ECE07EF89}"/>
  <tableColumns count="8">
    <tableColumn id="1" xr3:uid="{E64BC601-D1A2-4236-8CBC-E072F92D3F04}" name="Sl No"/>
    <tableColumn id="2" xr3:uid="{851E45AF-DC19-4CC1-B812-1CE253CB148E}" name="Date" dataDxfId="419"/>
    <tableColumn id="3" xr3:uid="{CB55A19C-6EC3-4B8B-887F-CF072A3723AA}" name="Customer"/>
    <tableColumn id="4" xr3:uid="{F9D150AF-164D-44C0-A157-7726CFEE2145}" name="Region"/>
    <tableColumn id="5" xr3:uid="{082FD31C-C445-4734-808A-CD4E4BC62589}" name="Item"/>
    <tableColumn id="6" xr3:uid="{71D45DFF-9F78-4450-A48F-E99508CF3366}" name="Qty"/>
    <tableColumn id="7" xr3:uid="{3663B749-7115-4508-832B-98D792EBFE01}" name="Price"/>
    <tableColumn id="8" xr3:uid="{E5B145D8-7E1D-4054-929D-E7385CF41BA3}" name="Am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ACA59-5DCD-476A-A0E5-850A55DB3962}">
  <dimension ref="A4:H504"/>
  <sheetViews>
    <sheetView topLeftCell="A488" zoomScale="91" workbookViewId="0">
      <selection activeCell="J503" sqref="J503"/>
    </sheetView>
  </sheetViews>
  <sheetFormatPr defaultRowHeight="15" x14ac:dyDescent="0.25"/>
  <cols>
    <col min="1" max="1" width="9.28515625" bestFit="1" customWidth="1"/>
    <col min="2" max="2" width="12.28515625" bestFit="1" customWidth="1"/>
    <col min="6" max="8" width="9.28515625" bestFit="1" customWidth="1"/>
  </cols>
  <sheetData>
    <row r="4" spans="1:8" x14ac:dyDescent="0.25">
      <c r="A4" t="s">
        <v>0</v>
      </c>
      <c r="B4" t="s">
        <v>1</v>
      </c>
      <c r="C4" t="s">
        <v>2</v>
      </c>
      <c r="D4" t="s">
        <v>3</v>
      </c>
      <c r="E4" t="s">
        <v>4</v>
      </c>
      <c r="F4" t="s">
        <v>5</v>
      </c>
      <c r="G4" t="s">
        <v>6</v>
      </c>
      <c r="H4" t="s">
        <v>7</v>
      </c>
    </row>
    <row r="5" spans="1:8" x14ac:dyDescent="0.25">
      <c r="A5">
        <v>1</v>
      </c>
      <c r="B5" s="1">
        <v>45916</v>
      </c>
      <c r="C5" t="s">
        <v>8</v>
      </c>
      <c r="D5" t="s">
        <v>9</v>
      </c>
      <c r="E5" t="s">
        <v>10</v>
      </c>
      <c r="F5">
        <v>1</v>
      </c>
      <c r="G5">
        <v>500</v>
      </c>
      <c r="H5">
        <v>500</v>
      </c>
    </row>
    <row r="6" spans="1:8" x14ac:dyDescent="0.25">
      <c r="A6">
        <v>2</v>
      </c>
      <c r="B6" s="1">
        <v>45917</v>
      </c>
      <c r="C6" t="s">
        <v>11</v>
      </c>
      <c r="D6" t="s">
        <v>12</v>
      </c>
      <c r="E6" t="s">
        <v>13</v>
      </c>
      <c r="F6">
        <v>4</v>
      </c>
      <c r="G6">
        <v>50</v>
      </c>
      <c r="H6">
        <v>200</v>
      </c>
    </row>
    <row r="7" spans="1:8" x14ac:dyDescent="0.25">
      <c r="A7">
        <v>3</v>
      </c>
      <c r="B7" s="1">
        <v>45918</v>
      </c>
      <c r="C7" t="s">
        <v>14</v>
      </c>
      <c r="D7" t="s">
        <v>9</v>
      </c>
      <c r="E7" t="s">
        <v>15</v>
      </c>
      <c r="F7">
        <v>6</v>
      </c>
      <c r="G7">
        <v>8000</v>
      </c>
      <c r="H7">
        <v>48000</v>
      </c>
    </row>
    <row r="8" spans="1:8" x14ac:dyDescent="0.25">
      <c r="A8">
        <v>4</v>
      </c>
      <c r="B8" s="1">
        <v>45919</v>
      </c>
      <c r="C8" t="s">
        <v>11</v>
      </c>
      <c r="D8" t="s">
        <v>12</v>
      </c>
      <c r="E8" t="s">
        <v>16</v>
      </c>
      <c r="F8">
        <v>1</v>
      </c>
      <c r="G8">
        <v>50</v>
      </c>
      <c r="H8">
        <v>50</v>
      </c>
    </row>
    <row r="9" spans="1:8" x14ac:dyDescent="0.25">
      <c r="A9">
        <v>5</v>
      </c>
      <c r="B9" s="1">
        <v>45920</v>
      </c>
      <c r="C9" t="s">
        <v>17</v>
      </c>
      <c r="D9" t="s">
        <v>18</v>
      </c>
      <c r="E9" t="s">
        <v>16</v>
      </c>
      <c r="F9">
        <v>10</v>
      </c>
      <c r="G9">
        <v>8000</v>
      </c>
      <c r="H9">
        <v>80000</v>
      </c>
    </row>
    <row r="10" spans="1:8" x14ac:dyDescent="0.25">
      <c r="A10">
        <v>6</v>
      </c>
      <c r="B10" s="1">
        <v>45921</v>
      </c>
      <c r="C10" t="s">
        <v>19</v>
      </c>
      <c r="D10" t="s">
        <v>9</v>
      </c>
      <c r="E10" t="s">
        <v>20</v>
      </c>
      <c r="F10">
        <v>6</v>
      </c>
      <c r="G10">
        <v>120</v>
      </c>
      <c r="H10">
        <v>720</v>
      </c>
    </row>
    <row r="11" spans="1:8" x14ac:dyDescent="0.25">
      <c r="A11">
        <v>7</v>
      </c>
      <c r="B11" s="1">
        <v>45922</v>
      </c>
      <c r="C11" t="s">
        <v>21</v>
      </c>
      <c r="D11" t="s">
        <v>12</v>
      </c>
      <c r="E11" t="s">
        <v>13</v>
      </c>
      <c r="F11">
        <v>2</v>
      </c>
      <c r="G11">
        <v>50</v>
      </c>
      <c r="H11">
        <v>100</v>
      </c>
    </row>
    <row r="12" spans="1:8" x14ac:dyDescent="0.25">
      <c r="A12">
        <v>8</v>
      </c>
      <c r="B12" s="1">
        <v>45923</v>
      </c>
      <c r="C12" t="s">
        <v>19</v>
      </c>
      <c r="D12" t="s">
        <v>12</v>
      </c>
      <c r="E12" t="s">
        <v>22</v>
      </c>
      <c r="F12">
        <v>3</v>
      </c>
      <c r="G12">
        <v>50</v>
      </c>
      <c r="H12">
        <v>150</v>
      </c>
    </row>
    <row r="13" spans="1:8" x14ac:dyDescent="0.25">
      <c r="A13">
        <v>9</v>
      </c>
      <c r="B13" s="1">
        <v>45924</v>
      </c>
      <c r="C13" t="s">
        <v>23</v>
      </c>
      <c r="D13" t="s">
        <v>12</v>
      </c>
      <c r="E13" t="s">
        <v>13</v>
      </c>
      <c r="F13">
        <v>3</v>
      </c>
      <c r="G13">
        <v>100</v>
      </c>
      <c r="H13">
        <v>300</v>
      </c>
    </row>
    <row r="14" spans="1:8" x14ac:dyDescent="0.25">
      <c r="A14">
        <v>10</v>
      </c>
      <c r="B14" s="1">
        <v>45925</v>
      </c>
      <c r="C14" t="s">
        <v>14</v>
      </c>
      <c r="D14" t="s">
        <v>18</v>
      </c>
      <c r="E14" t="s">
        <v>10</v>
      </c>
      <c r="F14">
        <v>9</v>
      </c>
      <c r="G14">
        <v>600</v>
      </c>
      <c r="H14">
        <v>5400</v>
      </c>
    </row>
    <row r="15" spans="1:8" x14ac:dyDescent="0.25">
      <c r="A15">
        <v>11</v>
      </c>
      <c r="B15" s="1">
        <v>45926</v>
      </c>
      <c r="C15" t="s">
        <v>24</v>
      </c>
      <c r="D15" t="s">
        <v>18</v>
      </c>
      <c r="E15" t="s">
        <v>13</v>
      </c>
      <c r="F15">
        <v>10</v>
      </c>
      <c r="G15">
        <v>500</v>
      </c>
      <c r="H15">
        <v>5000</v>
      </c>
    </row>
    <row r="16" spans="1:8" x14ac:dyDescent="0.25">
      <c r="A16">
        <v>12</v>
      </c>
      <c r="B16" s="1">
        <v>45927</v>
      </c>
      <c r="C16" t="s">
        <v>25</v>
      </c>
      <c r="D16" t="s">
        <v>18</v>
      </c>
      <c r="E16" t="s">
        <v>20</v>
      </c>
      <c r="F16">
        <v>10</v>
      </c>
      <c r="G16">
        <v>230</v>
      </c>
      <c r="H16">
        <v>2300</v>
      </c>
    </row>
    <row r="17" spans="1:8" x14ac:dyDescent="0.25">
      <c r="A17">
        <v>13</v>
      </c>
      <c r="B17" s="1">
        <v>45928</v>
      </c>
      <c r="C17" t="s">
        <v>24</v>
      </c>
      <c r="D17" t="s">
        <v>18</v>
      </c>
      <c r="E17" t="s">
        <v>20</v>
      </c>
      <c r="F17">
        <v>5</v>
      </c>
      <c r="G17">
        <v>120</v>
      </c>
      <c r="H17">
        <v>600</v>
      </c>
    </row>
    <row r="18" spans="1:8" x14ac:dyDescent="0.25">
      <c r="A18">
        <v>14</v>
      </c>
      <c r="B18" s="1">
        <v>45929</v>
      </c>
      <c r="C18" t="s">
        <v>26</v>
      </c>
      <c r="D18" t="s">
        <v>12</v>
      </c>
      <c r="E18" t="s">
        <v>13</v>
      </c>
      <c r="F18">
        <v>7</v>
      </c>
      <c r="G18">
        <v>100</v>
      </c>
      <c r="H18">
        <v>700</v>
      </c>
    </row>
    <row r="19" spans="1:8" x14ac:dyDescent="0.25">
      <c r="A19">
        <v>15</v>
      </c>
      <c r="B19" s="1">
        <v>45930</v>
      </c>
      <c r="C19" t="s">
        <v>11</v>
      </c>
      <c r="D19" t="s">
        <v>9</v>
      </c>
      <c r="E19" t="s">
        <v>20</v>
      </c>
      <c r="F19">
        <v>8</v>
      </c>
      <c r="G19">
        <v>230</v>
      </c>
      <c r="H19">
        <v>1840</v>
      </c>
    </row>
    <row r="20" spans="1:8" x14ac:dyDescent="0.25">
      <c r="A20">
        <v>16</v>
      </c>
      <c r="B20" s="1">
        <v>45931</v>
      </c>
      <c r="C20" t="s">
        <v>21</v>
      </c>
      <c r="D20" t="s">
        <v>27</v>
      </c>
      <c r="E20" t="s">
        <v>16</v>
      </c>
      <c r="F20">
        <v>4</v>
      </c>
      <c r="G20">
        <v>230</v>
      </c>
      <c r="H20">
        <v>920</v>
      </c>
    </row>
    <row r="21" spans="1:8" x14ac:dyDescent="0.25">
      <c r="A21">
        <v>17</v>
      </c>
      <c r="B21" s="1">
        <v>45932</v>
      </c>
      <c r="C21" t="s">
        <v>23</v>
      </c>
      <c r="D21" t="s">
        <v>18</v>
      </c>
      <c r="E21" t="s">
        <v>22</v>
      </c>
      <c r="F21">
        <v>4</v>
      </c>
      <c r="G21">
        <v>600</v>
      </c>
      <c r="H21">
        <v>2400</v>
      </c>
    </row>
    <row r="22" spans="1:8" x14ac:dyDescent="0.25">
      <c r="A22">
        <v>18</v>
      </c>
      <c r="B22" s="1">
        <v>45933</v>
      </c>
      <c r="C22" t="s">
        <v>14</v>
      </c>
      <c r="D22" t="s">
        <v>9</v>
      </c>
      <c r="E22" t="s">
        <v>10</v>
      </c>
      <c r="F22">
        <v>2</v>
      </c>
      <c r="G22">
        <v>600</v>
      </c>
      <c r="H22">
        <v>1200</v>
      </c>
    </row>
    <row r="23" spans="1:8" x14ac:dyDescent="0.25">
      <c r="A23">
        <v>19</v>
      </c>
      <c r="B23" s="1">
        <v>45934</v>
      </c>
      <c r="C23" t="s">
        <v>21</v>
      </c>
      <c r="D23" t="s">
        <v>18</v>
      </c>
      <c r="E23" t="s">
        <v>22</v>
      </c>
      <c r="F23">
        <v>8</v>
      </c>
      <c r="G23">
        <v>230</v>
      </c>
      <c r="H23">
        <v>1840</v>
      </c>
    </row>
    <row r="24" spans="1:8" x14ac:dyDescent="0.25">
      <c r="A24">
        <v>20</v>
      </c>
      <c r="B24" s="1">
        <v>45935</v>
      </c>
      <c r="C24" t="s">
        <v>11</v>
      </c>
      <c r="D24" t="s">
        <v>18</v>
      </c>
      <c r="E24" t="s">
        <v>15</v>
      </c>
      <c r="F24">
        <v>2</v>
      </c>
      <c r="G24">
        <v>120</v>
      </c>
      <c r="H24">
        <v>240</v>
      </c>
    </row>
    <row r="25" spans="1:8" x14ac:dyDescent="0.25">
      <c r="A25">
        <v>21</v>
      </c>
      <c r="B25" s="1">
        <v>45936</v>
      </c>
      <c r="C25" t="s">
        <v>26</v>
      </c>
      <c r="D25" t="s">
        <v>27</v>
      </c>
      <c r="E25" t="s">
        <v>10</v>
      </c>
      <c r="F25">
        <v>7</v>
      </c>
      <c r="G25">
        <v>600</v>
      </c>
      <c r="H25">
        <v>4200</v>
      </c>
    </row>
    <row r="26" spans="1:8" x14ac:dyDescent="0.25">
      <c r="A26">
        <v>22</v>
      </c>
      <c r="B26" s="1">
        <v>45937</v>
      </c>
      <c r="C26" t="s">
        <v>17</v>
      </c>
      <c r="D26" t="s">
        <v>27</v>
      </c>
      <c r="E26" t="s">
        <v>20</v>
      </c>
      <c r="F26">
        <v>1</v>
      </c>
      <c r="G26">
        <v>50</v>
      </c>
      <c r="H26">
        <v>50</v>
      </c>
    </row>
    <row r="27" spans="1:8" x14ac:dyDescent="0.25">
      <c r="A27">
        <v>23</v>
      </c>
      <c r="B27" s="1">
        <v>45938</v>
      </c>
      <c r="C27" t="s">
        <v>14</v>
      </c>
      <c r="D27" t="s">
        <v>9</v>
      </c>
      <c r="E27" t="s">
        <v>22</v>
      </c>
      <c r="F27">
        <v>6</v>
      </c>
      <c r="G27">
        <v>230</v>
      </c>
      <c r="H27">
        <v>1380</v>
      </c>
    </row>
    <row r="28" spans="1:8" x14ac:dyDescent="0.25">
      <c r="A28">
        <v>24</v>
      </c>
      <c r="B28" s="1">
        <v>45939</v>
      </c>
      <c r="C28" t="s">
        <v>14</v>
      </c>
      <c r="D28" t="s">
        <v>9</v>
      </c>
      <c r="E28" t="s">
        <v>28</v>
      </c>
      <c r="F28">
        <v>6</v>
      </c>
      <c r="G28">
        <v>50</v>
      </c>
      <c r="H28">
        <v>300</v>
      </c>
    </row>
    <row r="29" spans="1:8" x14ac:dyDescent="0.25">
      <c r="A29">
        <v>25</v>
      </c>
      <c r="B29" s="1">
        <v>45940</v>
      </c>
      <c r="C29" t="s">
        <v>11</v>
      </c>
      <c r="D29" t="s">
        <v>27</v>
      </c>
      <c r="E29" t="s">
        <v>28</v>
      </c>
      <c r="F29">
        <v>9</v>
      </c>
      <c r="G29">
        <v>8000</v>
      </c>
      <c r="H29">
        <v>72000</v>
      </c>
    </row>
    <row r="30" spans="1:8" x14ac:dyDescent="0.25">
      <c r="A30">
        <v>26</v>
      </c>
      <c r="B30" s="1">
        <v>45941</v>
      </c>
      <c r="C30" t="s">
        <v>17</v>
      </c>
      <c r="D30" t="s">
        <v>9</v>
      </c>
      <c r="E30" t="s">
        <v>10</v>
      </c>
      <c r="F30">
        <v>10</v>
      </c>
      <c r="G30">
        <v>100</v>
      </c>
      <c r="H30">
        <v>1000</v>
      </c>
    </row>
    <row r="31" spans="1:8" x14ac:dyDescent="0.25">
      <c r="A31">
        <v>27</v>
      </c>
      <c r="B31" s="1">
        <v>45942</v>
      </c>
      <c r="C31" t="s">
        <v>21</v>
      </c>
      <c r="D31" t="s">
        <v>12</v>
      </c>
      <c r="E31" t="s">
        <v>13</v>
      </c>
      <c r="F31">
        <v>2</v>
      </c>
      <c r="G31">
        <v>120</v>
      </c>
      <c r="H31">
        <v>240</v>
      </c>
    </row>
    <row r="32" spans="1:8" x14ac:dyDescent="0.25">
      <c r="A32">
        <v>28</v>
      </c>
      <c r="B32" s="1">
        <v>45943</v>
      </c>
      <c r="C32" t="s">
        <v>25</v>
      </c>
      <c r="D32" t="s">
        <v>12</v>
      </c>
      <c r="E32" t="s">
        <v>13</v>
      </c>
      <c r="F32">
        <v>1</v>
      </c>
      <c r="G32">
        <v>50</v>
      </c>
      <c r="H32">
        <v>50</v>
      </c>
    </row>
    <row r="33" spans="1:8" x14ac:dyDescent="0.25">
      <c r="A33">
        <v>29</v>
      </c>
      <c r="B33" s="1">
        <v>45944</v>
      </c>
      <c r="C33" t="s">
        <v>8</v>
      </c>
      <c r="D33" t="s">
        <v>12</v>
      </c>
      <c r="E33" t="s">
        <v>20</v>
      </c>
      <c r="F33">
        <v>8</v>
      </c>
      <c r="G33">
        <v>500</v>
      </c>
      <c r="H33">
        <v>4000</v>
      </c>
    </row>
    <row r="34" spans="1:8" x14ac:dyDescent="0.25">
      <c r="A34">
        <v>30</v>
      </c>
      <c r="B34" s="1">
        <v>45945</v>
      </c>
      <c r="C34" t="s">
        <v>24</v>
      </c>
      <c r="D34" t="s">
        <v>27</v>
      </c>
      <c r="E34" t="s">
        <v>20</v>
      </c>
      <c r="F34">
        <v>1</v>
      </c>
      <c r="G34">
        <v>50</v>
      </c>
      <c r="H34">
        <v>50</v>
      </c>
    </row>
    <row r="35" spans="1:8" x14ac:dyDescent="0.25">
      <c r="A35">
        <v>31</v>
      </c>
      <c r="B35" s="1">
        <v>45946</v>
      </c>
      <c r="C35" t="s">
        <v>14</v>
      </c>
      <c r="D35" t="s">
        <v>9</v>
      </c>
      <c r="E35" t="s">
        <v>28</v>
      </c>
      <c r="F35">
        <v>6</v>
      </c>
      <c r="G35">
        <v>8000</v>
      </c>
      <c r="H35">
        <v>48000</v>
      </c>
    </row>
    <row r="36" spans="1:8" x14ac:dyDescent="0.25">
      <c r="A36">
        <v>32</v>
      </c>
      <c r="B36" s="1">
        <v>45947</v>
      </c>
      <c r="C36" t="s">
        <v>17</v>
      </c>
      <c r="D36" t="s">
        <v>9</v>
      </c>
      <c r="E36" t="s">
        <v>28</v>
      </c>
      <c r="F36">
        <v>6</v>
      </c>
      <c r="G36">
        <v>8000</v>
      </c>
      <c r="H36">
        <v>48000</v>
      </c>
    </row>
    <row r="37" spans="1:8" x14ac:dyDescent="0.25">
      <c r="A37">
        <v>33</v>
      </c>
      <c r="B37" s="1">
        <v>45948</v>
      </c>
      <c r="C37" t="s">
        <v>11</v>
      </c>
      <c r="D37" t="s">
        <v>12</v>
      </c>
      <c r="E37" t="s">
        <v>28</v>
      </c>
      <c r="F37">
        <v>5</v>
      </c>
      <c r="G37">
        <v>8000</v>
      </c>
      <c r="H37">
        <v>40000</v>
      </c>
    </row>
    <row r="38" spans="1:8" x14ac:dyDescent="0.25">
      <c r="A38">
        <v>34</v>
      </c>
      <c r="B38" s="1">
        <v>45949</v>
      </c>
      <c r="C38" t="s">
        <v>25</v>
      </c>
      <c r="D38" t="s">
        <v>27</v>
      </c>
      <c r="E38" t="s">
        <v>16</v>
      </c>
      <c r="F38">
        <v>3</v>
      </c>
      <c r="G38">
        <v>230</v>
      </c>
      <c r="H38">
        <v>690</v>
      </c>
    </row>
    <row r="39" spans="1:8" x14ac:dyDescent="0.25">
      <c r="A39">
        <v>35</v>
      </c>
      <c r="B39" s="1">
        <v>45950</v>
      </c>
      <c r="C39" t="s">
        <v>14</v>
      </c>
      <c r="D39" t="s">
        <v>18</v>
      </c>
      <c r="E39" t="s">
        <v>28</v>
      </c>
      <c r="F39">
        <v>1</v>
      </c>
      <c r="G39">
        <v>230</v>
      </c>
      <c r="H39">
        <v>230</v>
      </c>
    </row>
    <row r="40" spans="1:8" x14ac:dyDescent="0.25">
      <c r="A40">
        <v>36</v>
      </c>
      <c r="B40" s="1">
        <v>45951</v>
      </c>
      <c r="C40" t="s">
        <v>8</v>
      </c>
      <c r="D40" t="s">
        <v>18</v>
      </c>
      <c r="E40" t="s">
        <v>22</v>
      </c>
      <c r="F40">
        <v>8</v>
      </c>
      <c r="G40">
        <v>50</v>
      </c>
      <c r="H40">
        <v>400</v>
      </c>
    </row>
    <row r="41" spans="1:8" x14ac:dyDescent="0.25">
      <c r="A41">
        <v>37</v>
      </c>
      <c r="B41" s="1">
        <v>45952</v>
      </c>
      <c r="C41" t="s">
        <v>24</v>
      </c>
      <c r="D41" t="s">
        <v>12</v>
      </c>
      <c r="E41" t="s">
        <v>16</v>
      </c>
      <c r="F41">
        <v>4</v>
      </c>
      <c r="G41">
        <v>500</v>
      </c>
      <c r="H41">
        <v>2000</v>
      </c>
    </row>
    <row r="42" spans="1:8" x14ac:dyDescent="0.25">
      <c r="A42">
        <v>38</v>
      </c>
      <c r="B42" s="1">
        <v>45953</v>
      </c>
      <c r="C42" t="s">
        <v>11</v>
      </c>
      <c r="D42" t="s">
        <v>12</v>
      </c>
      <c r="E42" t="s">
        <v>10</v>
      </c>
      <c r="F42">
        <v>10</v>
      </c>
      <c r="G42">
        <v>50</v>
      </c>
      <c r="H42">
        <v>500</v>
      </c>
    </row>
    <row r="43" spans="1:8" x14ac:dyDescent="0.25">
      <c r="A43">
        <v>39</v>
      </c>
      <c r="B43" s="1">
        <v>45954</v>
      </c>
      <c r="C43" t="s">
        <v>21</v>
      </c>
      <c r="D43" t="s">
        <v>18</v>
      </c>
      <c r="E43" t="s">
        <v>16</v>
      </c>
      <c r="F43">
        <v>3</v>
      </c>
      <c r="G43">
        <v>100</v>
      </c>
      <c r="H43">
        <v>300</v>
      </c>
    </row>
    <row r="44" spans="1:8" x14ac:dyDescent="0.25">
      <c r="A44">
        <v>40</v>
      </c>
      <c r="B44" s="1">
        <v>45955</v>
      </c>
      <c r="C44" t="s">
        <v>21</v>
      </c>
      <c r="D44" t="s">
        <v>27</v>
      </c>
      <c r="E44" t="s">
        <v>20</v>
      </c>
      <c r="F44">
        <v>5</v>
      </c>
      <c r="G44">
        <v>50</v>
      </c>
      <c r="H44">
        <v>250</v>
      </c>
    </row>
    <row r="45" spans="1:8" x14ac:dyDescent="0.25">
      <c r="A45">
        <v>41</v>
      </c>
      <c r="B45" s="1">
        <v>45956</v>
      </c>
      <c r="C45" t="s">
        <v>19</v>
      </c>
      <c r="D45" t="s">
        <v>27</v>
      </c>
      <c r="E45" t="s">
        <v>20</v>
      </c>
      <c r="F45">
        <v>6</v>
      </c>
      <c r="G45">
        <v>600</v>
      </c>
      <c r="H45">
        <v>3600</v>
      </c>
    </row>
    <row r="46" spans="1:8" x14ac:dyDescent="0.25">
      <c r="A46">
        <v>42</v>
      </c>
      <c r="B46" s="1">
        <v>45957</v>
      </c>
      <c r="C46" t="s">
        <v>24</v>
      </c>
      <c r="D46" t="s">
        <v>27</v>
      </c>
      <c r="E46" t="s">
        <v>13</v>
      </c>
      <c r="F46">
        <v>7</v>
      </c>
      <c r="G46">
        <v>8000</v>
      </c>
      <c r="H46">
        <v>56000</v>
      </c>
    </row>
    <row r="47" spans="1:8" x14ac:dyDescent="0.25">
      <c r="A47">
        <v>43</v>
      </c>
      <c r="B47" s="1">
        <v>45958</v>
      </c>
      <c r="C47" t="s">
        <v>21</v>
      </c>
      <c r="D47" t="s">
        <v>27</v>
      </c>
      <c r="E47" t="s">
        <v>28</v>
      </c>
      <c r="F47">
        <v>5</v>
      </c>
      <c r="G47">
        <v>230</v>
      </c>
      <c r="H47">
        <v>1150</v>
      </c>
    </row>
    <row r="48" spans="1:8" x14ac:dyDescent="0.25">
      <c r="A48">
        <v>44</v>
      </c>
      <c r="B48" s="1">
        <v>45959</v>
      </c>
      <c r="C48" t="s">
        <v>14</v>
      </c>
      <c r="D48" t="s">
        <v>18</v>
      </c>
      <c r="E48" t="s">
        <v>16</v>
      </c>
      <c r="F48">
        <v>6</v>
      </c>
      <c r="G48">
        <v>230</v>
      </c>
      <c r="H48">
        <v>1380</v>
      </c>
    </row>
    <row r="49" spans="1:8" x14ac:dyDescent="0.25">
      <c r="A49">
        <v>45</v>
      </c>
      <c r="B49" s="1">
        <v>45960</v>
      </c>
      <c r="C49" t="s">
        <v>11</v>
      </c>
      <c r="D49" t="s">
        <v>27</v>
      </c>
      <c r="E49" t="s">
        <v>10</v>
      </c>
      <c r="F49">
        <v>3</v>
      </c>
      <c r="G49">
        <v>500</v>
      </c>
      <c r="H49">
        <v>1500</v>
      </c>
    </row>
    <row r="50" spans="1:8" x14ac:dyDescent="0.25">
      <c r="A50">
        <v>46</v>
      </c>
      <c r="B50" s="1">
        <v>45961</v>
      </c>
      <c r="C50" t="s">
        <v>24</v>
      </c>
      <c r="D50" t="s">
        <v>18</v>
      </c>
      <c r="E50" t="s">
        <v>15</v>
      </c>
      <c r="F50">
        <v>10</v>
      </c>
      <c r="G50">
        <v>50</v>
      </c>
      <c r="H50">
        <v>500</v>
      </c>
    </row>
    <row r="51" spans="1:8" x14ac:dyDescent="0.25">
      <c r="A51">
        <v>47</v>
      </c>
      <c r="B51" s="1">
        <v>45962</v>
      </c>
      <c r="C51" t="s">
        <v>8</v>
      </c>
      <c r="D51" t="s">
        <v>27</v>
      </c>
      <c r="E51" t="s">
        <v>22</v>
      </c>
      <c r="F51">
        <v>5</v>
      </c>
      <c r="G51">
        <v>8000</v>
      </c>
      <c r="H51">
        <v>40000</v>
      </c>
    </row>
    <row r="52" spans="1:8" x14ac:dyDescent="0.25">
      <c r="A52">
        <v>48</v>
      </c>
      <c r="B52" s="1">
        <v>45963</v>
      </c>
      <c r="C52" t="s">
        <v>25</v>
      </c>
      <c r="D52" t="s">
        <v>18</v>
      </c>
      <c r="E52" t="s">
        <v>13</v>
      </c>
      <c r="F52">
        <v>8</v>
      </c>
      <c r="G52">
        <v>230</v>
      </c>
      <c r="H52">
        <v>1840</v>
      </c>
    </row>
    <row r="53" spans="1:8" x14ac:dyDescent="0.25">
      <c r="A53">
        <v>49</v>
      </c>
      <c r="B53" s="1">
        <v>45964</v>
      </c>
      <c r="C53" t="s">
        <v>26</v>
      </c>
      <c r="D53" t="s">
        <v>9</v>
      </c>
      <c r="E53" t="s">
        <v>15</v>
      </c>
      <c r="F53">
        <v>1</v>
      </c>
      <c r="G53">
        <v>600</v>
      </c>
      <c r="H53">
        <v>600</v>
      </c>
    </row>
    <row r="54" spans="1:8" x14ac:dyDescent="0.25">
      <c r="A54">
        <v>50</v>
      </c>
      <c r="B54" s="1">
        <v>45965</v>
      </c>
      <c r="C54" t="s">
        <v>24</v>
      </c>
      <c r="D54" t="s">
        <v>12</v>
      </c>
      <c r="E54" t="s">
        <v>16</v>
      </c>
      <c r="F54">
        <v>3</v>
      </c>
      <c r="G54">
        <v>230</v>
      </c>
      <c r="H54">
        <v>690</v>
      </c>
    </row>
    <row r="55" spans="1:8" x14ac:dyDescent="0.25">
      <c r="A55">
        <v>51</v>
      </c>
      <c r="B55" s="1">
        <v>45966</v>
      </c>
      <c r="C55" t="s">
        <v>25</v>
      </c>
      <c r="D55" t="s">
        <v>18</v>
      </c>
      <c r="E55" t="s">
        <v>13</v>
      </c>
      <c r="F55">
        <v>8</v>
      </c>
      <c r="G55">
        <v>600</v>
      </c>
      <c r="H55">
        <v>4800</v>
      </c>
    </row>
    <row r="56" spans="1:8" x14ac:dyDescent="0.25">
      <c r="A56">
        <v>52</v>
      </c>
      <c r="B56" s="1">
        <v>45967</v>
      </c>
      <c r="C56" t="s">
        <v>14</v>
      </c>
      <c r="D56" t="s">
        <v>18</v>
      </c>
      <c r="E56" t="s">
        <v>28</v>
      </c>
      <c r="F56">
        <v>4</v>
      </c>
      <c r="G56">
        <v>120</v>
      </c>
      <c r="H56">
        <v>480</v>
      </c>
    </row>
    <row r="57" spans="1:8" x14ac:dyDescent="0.25">
      <c r="A57">
        <v>53</v>
      </c>
      <c r="B57" s="1">
        <v>45968</v>
      </c>
      <c r="C57" t="s">
        <v>17</v>
      </c>
      <c r="D57" t="s">
        <v>18</v>
      </c>
      <c r="E57" t="s">
        <v>16</v>
      </c>
      <c r="F57">
        <v>10</v>
      </c>
      <c r="G57">
        <v>100</v>
      </c>
      <c r="H57">
        <v>1000</v>
      </c>
    </row>
    <row r="58" spans="1:8" x14ac:dyDescent="0.25">
      <c r="A58">
        <v>54</v>
      </c>
      <c r="B58" s="1">
        <v>45969</v>
      </c>
      <c r="C58" t="s">
        <v>19</v>
      </c>
      <c r="D58" t="s">
        <v>12</v>
      </c>
      <c r="E58" t="s">
        <v>16</v>
      </c>
      <c r="F58">
        <v>4</v>
      </c>
      <c r="G58">
        <v>100</v>
      </c>
      <c r="H58">
        <v>400</v>
      </c>
    </row>
    <row r="59" spans="1:8" x14ac:dyDescent="0.25">
      <c r="A59">
        <v>55</v>
      </c>
      <c r="B59" s="1">
        <v>45970</v>
      </c>
      <c r="C59" t="s">
        <v>23</v>
      </c>
      <c r="D59" t="s">
        <v>12</v>
      </c>
      <c r="E59" t="s">
        <v>22</v>
      </c>
      <c r="F59">
        <v>7</v>
      </c>
      <c r="G59">
        <v>100</v>
      </c>
      <c r="H59">
        <v>700</v>
      </c>
    </row>
    <row r="60" spans="1:8" x14ac:dyDescent="0.25">
      <c r="A60">
        <v>56</v>
      </c>
      <c r="B60" s="1">
        <v>45971</v>
      </c>
      <c r="C60" t="s">
        <v>14</v>
      </c>
      <c r="D60" t="s">
        <v>27</v>
      </c>
      <c r="E60" t="s">
        <v>22</v>
      </c>
      <c r="F60">
        <v>1</v>
      </c>
      <c r="G60">
        <v>8000</v>
      </c>
      <c r="H60">
        <v>8000</v>
      </c>
    </row>
    <row r="61" spans="1:8" x14ac:dyDescent="0.25">
      <c r="A61">
        <v>57</v>
      </c>
      <c r="B61" s="1">
        <v>45972</v>
      </c>
      <c r="C61" t="s">
        <v>25</v>
      </c>
      <c r="D61" t="s">
        <v>27</v>
      </c>
      <c r="E61" t="s">
        <v>16</v>
      </c>
      <c r="F61">
        <v>1</v>
      </c>
      <c r="G61">
        <v>500</v>
      </c>
      <c r="H61">
        <v>500</v>
      </c>
    </row>
    <row r="62" spans="1:8" x14ac:dyDescent="0.25">
      <c r="A62">
        <v>58</v>
      </c>
      <c r="B62" s="1">
        <v>45973</v>
      </c>
      <c r="C62" t="s">
        <v>26</v>
      </c>
      <c r="D62" t="s">
        <v>12</v>
      </c>
      <c r="E62" t="s">
        <v>10</v>
      </c>
      <c r="F62">
        <v>7</v>
      </c>
      <c r="G62">
        <v>100</v>
      </c>
      <c r="H62">
        <v>700</v>
      </c>
    </row>
    <row r="63" spans="1:8" x14ac:dyDescent="0.25">
      <c r="A63">
        <v>59</v>
      </c>
      <c r="B63" s="1">
        <v>45974</v>
      </c>
      <c r="C63" t="s">
        <v>8</v>
      </c>
      <c r="D63" t="s">
        <v>18</v>
      </c>
      <c r="E63" t="s">
        <v>28</v>
      </c>
      <c r="F63">
        <v>9</v>
      </c>
      <c r="G63">
        <v>50</v>
      </c>
      <c r="H63">
        <v>450</v>
      </c>
    </row>
    <row r="64" spans="1:8" x14ac:dyDescent="0.25">
      <c r="A64">
        <v>60</v>
      </c>
      <c r="B64" s="1">
        <v>45975</v>
      </c>
      <c r="C64" t="s">
        <v>17</v>
      </c>
      <c r="D64" t="s">
        <v>27</v>
      </c>
      <c r="E64" t="s">
        <v>10</v>
      </c>
      <c r="F64">
        <v>5</v>
      </c>
      <c r="G64">
        <v>100</v>
      </c>
      <c r="H64">
        <v>500</v>
      </c>
    </row>
    <row r="65" spans="1:8" x14ac:dyDescent="0.25">
      <c r="A65">
        <v>61</v>
      </c>
      <c r="B65" s="1">
        <v>45976</v>
      </c>
      <c r="C65" t="s">
        <v>8</v>
      </c>
      <c r="D65" t="s">
        <v>18</v>
      </c>
      <c r="E65" t="s">
        <v>13</v>
      </c>
      <c r="F65">
        <v>6</v>
      </c>
      <c r="G65">
        <v>8000</v>
      </c>
      <c r="H65">
        <v>48000</v>
      </c>
    </row>
    <row r="66" spans="1:8" x14ac:dyDescent="0.25">
      <c r="A66">
        <v>62</v>
      </c>
      <c r="B66" s="1">
        <v>45977</v>
      </c>
      <c r="C66" t="s">
        <v>14</v>
      </c>
      <c r="D66" t="s">
        <v>27</v>
      </c>
      <c r="E66" t="s">
        <v>10</v>
      </c>
      <c r="F66">
        <v>1</v>
      </c>
      <c r="G66">
        <v>500</v>
      </c>
      <c r="H66">
        <v>500</v>
      </c>
    </row>
    <row r="67" spans="1:8" x14ac:dyDescent="0.25">
      <c r="A67">
        <v>63</v>
      </c>
      <c r="B67" s="1">
        <v>45978</v>
      </c>
      <c r="C67" t="s">
        <v>26</v>
      </c>
      <c r="D67" t="s">
        <v>27</v>
      </c>
      <c r="E67" t="s">
        <v>13</v>
      </c>
      <c r="F67">
        <v>4</v>
      </c>
      <c r="G67">
        <v>600</v>
      </c>
      <c r="H67">
        <v>2400</v>
      </c>
    </row>
    <row r="68" spans="1:8" x14ac:dyDescent="0.25">
      <c r="A68">
        <v>64</v>
      </c>
      <c r="B68" s="1">
        <v>45979</v>
      </c>
      <c r="C68" t="s">
        <v>21</v>
      </c>
      <c r="D68" t="s">
        <v>9</v>
      </c>
      <c r="E68" t="s">
        <v>15</v>
      </c>
      <c r="F68">
        <v>6</v>
      </c>
      <c r="G68">
        <v>500</v>
      </c>
      <c r="H68">
        <v>3000</v>
      </c>
    </row>
    <row r="69" spans="1:8" x14ac:dyDescent="0.25">
      <c r="A69">
        <v>65</v>
      </c>
      <c r="B69" s="1">
        <v>45980</v>
      </c>
      <c r="C69" t="s">
        <v>14</v>
      </c>
      <c r="D69" t="s">
        <v>9</v>
      </c>
      <c r="E69" t="s">
        <v>15</v>
      </c>
      <c r="F69">
        <v>6</v>
      </c>
      <c r="G69">
        <v>600</v>
      </c>
      <c r="H69">
        <v>3600</v>
      </c>
    </row>
    <row r="70" spans="1:8" x14ac:dyDescent="0.25">
      <c r="A70">
        <v>66</v>
      </c>
      <c r="B70" s="1">
        <v>45981</v>
      </c>
      <c r="C70" t="s">
        <v>26</v>
      </c>
      <c r="D70" t="s">
        <v>27</v>
      </c>
      <c r="E70" t="s">
        <v>13</v>
      </c>
      <c r="F70">
        <v>3</v>
      </c>
      <c r="G70">
        <v>50</v>
      </c>
      <c r="H70">
        <v>150</v>
      </c>
    </row>
    <row r="71" spans="1:8" x14ac:dyDescent="0.25">
      <c r="A71">
        <v>67</v>
      </c>
      <c r="B71" s="1">
        <v>45982</v>
      </c>
      <c r="C71" t="s">
        <v>25</v>
      </c>
      <c r="D71" t="s">
        <v>27</v>
      </c>
      <c r="E71" t="s">
        <v>22</v>
      </c>
      <c r="F71">
        <v>6</v>
      </c>
      <c r="G71">
        <v>100</v>
      </c>
      <c r="H71">
        <v>600</v>
      </c>
    </row>
    <row r="72" spans="1:8" x14ac:dyDescent="0.25">
      <c r="A72">
        <v>68</v>
      </c>
      <c r="B72" s="1">
        <v>45983</v>
      </c>
      <c r="C72" t="s">
        <v>24</v>
      </c>
      <c r="D72" t="s">
        <v>9</v>
      </c>
      <c r="E72" t="s">
        <v>13</v>
      </c>
      <c r="F72">
        <v>3</v>
      </c>
      <c r="G72">
        <v>500</v>
      </c>
      <c r="H72">
        <v>1500</v>
      </c>
    </row>
    <row r="73" spans="1:8" x14ac:dyDescent="0.25">
      <c r="A73">
        <v>69</v>
      </c>
      <c r="B73" s="1">
        <v>45984</v>
      </c>
      <c r="C73" t="s">
        <v>21</v>
      </c>
      <c r="D73" t="s">
        <v>27</v>
      </c>
      <c r="E73" t="s">
        <v>20</v>
      </c>
      <c r="F73">
        <v>1</v>
      </c>
      <c r="G73">
        <v>8000</v>
      </c>
      <c r="H73">
        <v>8000</v>
      </c>
    </row>
    <row r="74" spans="1:8" x14ac:dyDescent="0.25">
      <c r="A74">
        <v>70</v>
      </c>
      <c r="B74" s="1">
        <v>45985</v>
      </c>
      <c r="C74" t="s">
        <v>8</v>
      </c>
      <c r="D74" t="s">
        <v>12</v>
      </c>
      <c r="E74" t="s">
        <v>15</v>
      </c>
      <c r="F74">
        <v>5</v>
      </c>
      <c r="G74">
        <v>50</v>
      </c>
      <c r="H74">
        <v>250</v>
      </c>
    </row>
    <row r="75" spans="1:8" x14ac:dyDescent="0.25">
      <c r="A75">
        <v>71</v>
      </c>
      <c r="B75" s="1">
        <v>45986</v>
      </c>
      <c r="C75" t="s">
        <v>17</v>
      </c>
      <c r="D75" t="s">
        <v>18</v>
      </c>
      <c r="E75" t="s">
        <v>20</v>
      </c>
      <c r="F75">
        <v>1</v>
      </c>
      <c r="G75">
        <v>8000</v>
      </c>
      <c r="H75">
        <v>8000</v>
      </c>
    </row>
    <row r="76" spans="1:8" x14ac:dyDescent="0.25">
      <c r="A76">
        <v>72</v>
      </c>
      <c r="B76" s="1">
        <v>45987</v>
      </c>
      <c r="C76" t="s">
        <v>24</v>
      </c>
      <c r="D76" t="s">
        <v>18</v>
      </c>
      <c r="E76" t="s">
        <v>22</v>
      </c>
      <c r="F76">
        <v>4</v>
      </c>
      <c r="G76">
        <v>600</v>
      </c>
      <c r="H76">
        <v>2400</v>
      </c>
    </row>
    <row r="77" spans="1:8" x14ac:dyDescent="0.25">
      <c r="A77">
        <v>73</v>
      </c>
      <c r="B77" s="1">
        <v>45988</v>
      </c>
      <c r="C77" t="s">
        <v>24</v>
      </c>
      <c r="D77" t="s">
        <v>27</v>
      </c>
      <c r="E77" t="s">
        <v>10</v>
      </c>
      <c r="F77">
        <v>9</v>
      </c>
      <c r="G77">
        <v>50</v>
      </c>
      <c r="H77">
        <v>450</v>
      </c>
    </row>
    <row r="78" spans="1:8" x14ac:dyDescent="0.25">
      <c r="A78">
        <v>74</v>
      </c>
      <c r="B78" s="1">
        <v>45989</v>
      </c>
      <c r="C78" t="s">
        <v>25</v>
      </c>
      <c r="D78" t="s">
        <v>12</v>
      </c>
      <c r="E78" t="s">
        <v>28</v>
      </c>
      <c r="F78">
        <v>1</v>
      </c>
      <c r="G78">
        <v>500</v>
      </c>
      <c r="H78">
        <v>500</v>
      </c>
    </row>
    <row r="79" spans="1:8" x14ac:dyDescent="0.25">
      <c r="A79">
        <v>75</v>
      </c>
      <c r="B79" s="1">
        <v>45990</v>
      </c>
      <c r="C79" t="s">
        <v>19</v>
      </c>
      <c r="D79" t="s">
        <v>9</v>
      </c>
      <c r="E79" t="s">
        <v>10</v>
      </c>
      <c r="F79">
        <v>9</v>
      </c>
      <c r="G79">
        <v>100</v>
      </c>
      <c r="H79">
        <v>900</v>
      </c>
    </row>
    <row r="80" spans="1:8" x14ac:dyDescent="0.25">
      <c r="A80">
        <v>76</v>
      </c>
      <c r="B80" s="1">
        <v>45991</v>
      </c>
      <c r="C80" t="s">
        <v>8</v>
      </c>
      <c r="D80" t="s">
        <v>12</v>
      </c>
      <c r="E80" t="s">
        <v>13</v>
      </c>
      <c r="F80">
        <v>10</v>
      </c>
      <c r="G80">
        <v>600</v>
      </c>
      <c r="H80">
        <v>6000</v>
      </c>
    </row>
    <row r="81" spans="1:8" x14ac:dyDescent="0.25">
      <c r="A81">
        <v>77</v>
      </c>
      <c r="B81" s="1">
        <v>45992</v>
      </c>
      <c r="C81" t="s">
        <v>23</v>
      </c>
      <c r="D81" t="s">
        <v>27</v>
      </c>
      <c r="E81" t="s">
        <v>13</v>
      </c>
      <c r="F81">
        <v>7</v>
      </c>
      <c r="G81">
        <v>230</v>
      </c>
      <c r="H81">
        <v>1610</v>
      </c>
    </row>
    <row r="82" spans="1:8" x14ac:dyDescent="0.25">
      <c r="A82">
        <v>78</v>
      </c>
      <c r="B82" s="1">
        <v>45993</v>
      </c>
      <c r="C82" t="s">
        <v>25</v>
      </c>
      <c r="D82" t="s">
        <v>27</v>
      </c>
      <c r="E82" t="s">
        <v>15</v>
      </c>
      <c r="F82">
        <v>10</v>
      </c>
      <c r="G82">
        <v>100</v>
      </c>
      <c r="H82">
        <v>1000</v>
      </c>
    </row>
    <row r="83" spans="1:8" x14ac:dyDescent="0.25">
      <c r="A83">
        <v>79</v>
      </c>
      <c r="B83" s="1">
        <v>45994</v>
      </c>
      <c r="C83" t="s">
        <v>24</v>
      </c>
      <c r="D83" t="s">
        <v>18</v>
      </c>
      <c r="E83" t="s">
        <v>22</v>
      </c>
      <c r="F83">
        <v>9</v>
      </c>
      <c r="G83">
        <v>230</v>
      </c>
      <c r="H83">
        <v>2070</v>
      </c>
    </row>
    <row r="84" spans="1:8" x14ac:dyDescent="0.25">
      <c r="A84">
        <v>80</v>
      </c>
      <c r="B84" s="1">
        <v>45995</v>
      </c>
      <c r="C84" t="s">
        <v>23</v>
      </c>
      <c r="D84" t="s">
        <v>18</v>
      </c>
      <c r="E84" t="s">
        <v>15</v>
      </c>
      <c r="F84">
        <v>2</v>
      </c>
      <c r="G84">
        <v>100</v>
      </c>
      <c r="H84">
        <v>200</v>
      </c>
    </row>
    <row r="85" spans="1:8" x14ac:dyDescent="0.25">
      <c r="A85">
        <v>81</v>
      </c>
      <c r="B85" s="1">
        <v>45996</v>
      </c>
      <c r="C85" t="s">
        <v>26</v>
      </c>
      <c r="D85" t="s">
        <v>18</v>
      </c>
      <c r="E85" t="s">
        <v>13</v>
      </c>
      <c r="F85">
        <v>6</v>
      </c>
      <c r="G85">
        <v>100</v>
      </c>
      <c r="H85">
        <v>600</v>
      </c>
    </row>
    <row r="86" spans="1:8" x14ac:dyDescent="0.25">
      <c r="A86">
        <v>82</v>
      </c>
      <c r="B86" s="1">
        <v>45997</v>
      </c>
      <c r="C86" t="s">
        <v>26</v>
      </c>
      <c r="D86" t="s">
        <v>12</v>
      </c>
      <c r="E86" t="s">
        <v>20</v>
      </c>
      <c r="F86">
        <v>6</v>
      </c>
      <c r="G86">
        <v>100</v>
      </c>
      <c r="H86">
        <v>600</v>
      </c>
    </row>
    <row r="87" spans="1:8" x14ac:dyDescent="0.25">
      <c r="A87">
        <v>83</v>
      </c>
      <c r="B87" s="1">
        <v>45998</v>
      </c>
      <c r="C87" t="s">
        <v>24</v>
      </c>
      <c r="D87" t="s">
        <v>27</v>
      </c>
      <c r="E87" t="s">
        <v>28</v>
      </c>
      <c r="F87">
        <v>9</v>
      </c>
      <c r="G87">
        <v>120</v>
      </c>
      <c r="H87">
        <v>1080</v>
      </c>
    </row>
    <row r="88" spans="1:8" x14ac:dyDescent="0.25">
      <c r="A88">
        <v>84</v>
      </c>
      <c r="B88" s="1">
        <v>45999</v>
      </c>
      <c r="C88" t="s">
        <v>17</v>
      </c>
      <c r="D88" t="s">
        <v>9</v>
      </c>
      <c r="E88" t="s">
        <v>13</v>
      </c>
      <c r="F88">
        <v>7</v>
      </c>
      <c r="G88">
        <v>500</v>
      </c>
      <c r="H88">
        <v>3500</v>
      </c>
    </row>
    <row r="89" spans="1:8" x14ac:dyDescent="0.25">
      <c r="A89">
        <v>85</v>
      </c>
      <c r="B89" s="1">
        <v>46000</v>
      </c>
      <c r="C89" t="s">
        <v>23</v>
      </c>
      <c r="D89" t="s">
        <v>9</v>
      </c>
      <c r="E89" t="s">
        <v>16</v>
      </c>
      <c r="F89">
        <v>6</v>
      </c>
      <c r="G89">
        <v>500</v>
      </c>
      <c r="H89">
        <v>3000</v>
      </c>
    </row>
    <row r="90" spans="1:8" x14ac:dyDescent="0.25">
      <c r="A90">
        <v>86</v>
      </c>
      <c r="B90" s="1">
        <v>46001</v>
      </c>
      <c r="C90" t="s">
        <v>21</v>
      </c>
      <c r="D90" t="s">
        <v>18</v>
      </c>
      <c r="E90" t="s">
        <v>22</v>
      </c>
      <c r="F90">
        <v>8</v>
      </c>
      <c r="G90">
        <v>120</v>
      </c>
      <c r="H90">
        <v>960</v>
      </c>
    </row>
    <row r="91" spans="1:8" x14ac:dyDescent="0.25">
      <c r="A91">
        <v>87</v>
      </c>
      <c r="B91" s="1">
        <v>46002</v>
      </c>
      <c r="C91" t="s">
        <v>23</v>
      </c>
      <c r="D91" t="s">
        <v>12</v>
      </c>
      <c r="E91" t="s">
        <v>10</v>
      </c>
      <c r="F91">
        <v>6</v>
      </c>
      <c r="G91">
        <v>8000</v>
      </c>
      <c r="H91">
        <v>48000</v>
      </c>
    </row>
    <row r="92" spans="1:8" x14ac:dyDescent="0.25">
      <c r="A92">
        <v>88</v>
      </c>
      <c r="B92" s="1">
        <v>46003</v>
      </c>
      <c r="C92" t="s">
        <v>14</v>
      </c>
      <c r="D92" t="s">
        <v>27</v>
      </c>
      <c r="E92" t="s">
        <v>28</v>
      </c>
      <c r="F92">
        <v>1</v>
      </c>
      <c r="G92">
        <v>50</v>
      </c>
      <c r="H92">
        <v>50</v>
      </c>
    </row>
    <row r="93" spans="1:8" x14ac:dyDescent="0.25">
      <c r="A93">
        <v>89</v>
      </c>
      <c r="B93" s="1">
        <v>46004</v>
      </c>
      <c r="C93" t="s">
        <v>21</v>
      </c>
      <c r="D93" t="s">
        <v>9</v>
      </c>
      <c r="E93" t="s">
        <v>13</v>
      </c>
      <c r="F93">
        <v>3</v>
      </c>
      <c r="G93">
        <v>100</v>
      </c>
      <c r="H93">
        <v>300</v>
      </c>
    </row>
    <row r="94" spans="1:8" x14ac:dyDescent="0.25">
      <c r="A94">
        <v>90</v>
      </c>
      <c r="B94" s="1">
        <v>46005</v>
      </c>
      <c r="C94" t="s">
        <v>23</v>
      </c>
      <c r="D94" t="s">
        <v>18</v>
      </c>
      <c r="E94" t="s">
        <v>28</v>
      </c>
      <c r="F94">
        <v>8</v>
      </c>
      <c r="G94">
        <v>100</v>
      </c>
      <c r="H94">
        <v>800</v>
      </c>
    </row>
    <row r="95" spans="1:8" x14ac:dyDescent="0.25">
      <c r="A95">
        <v>91</v>
      </c>
      <c r="B95" s="1">
        <v>46006</v>
      </c>
      <c r="C95" t="s">
        <v>8</v>
      </c>
      <c r="D95" t="s">
        <v>12</v>
      </c>
      <c r="E95" t="s">
        <v>13</v>
      </c>
      <c r="F95">
        <v>10</v>
      </c>
      <c r="G95">
        <v>8000</v>
      </c>
      <c r="H95">
        <v>80000</v>
      </c>
    </row>
    <row r="96" spans="1:8" x14ac:dyDescent="0.25">
      <c r="A96">
        <v>92</v>
      </c>
      <c r="B96" s="1">
        <v>46007</v>
      </c>
      <c r="C96" t="s">
        <v>8</v>
      </c>
      <c r="D96" t="s">
        <v>9</v>
      </c>
      <c r="E96" t="s">
        <v>13</v>
      </c>
      <c r="F96">
        <v>2</v>
      </c>
      <c r="G96">
        <v>8000</v>
      </c>
      <c r="H96">
        <v>16000</v>
      </c>
    </row>
    <row r="97" spans="1:8" x14ac:dyDescent="0.25">
      <c r="A97">
        <v>93</v>
      </c>
      <c r="B97" s="1">
        <v>46008</v>
      </c>
      <c r="C97" t="s">
        <v>25</v>
      </c>
      <c r="D97" t="s">
        <v>18</v>
      </c>
      <c r="E97" t="s">
        <v>22</v>
      </c>
      <c r="F97">
        <v>8</v>
      </c>
      <c r="G97">
        <v>120</v>
      </c>
      <c r="H97">
        <v>960</v>
      </c>
    </row>
    <row r="98" spans="1:8" x14ac:dyDescent="0.25">
      <c r="A98">
        <v>94</v>
      </c>
      <c r="B98" s="1">
        <v>46009</v>
      </c>
      <c r="C98" t="s">
        <v>19</v>
      </c>
      <c r="D98" t="s">
        <v>9</v>
      </c>
      <c r="E98" t="s">
        <v>10</v>
      </c>
      <c r="F98">
        <v>9</v>
      </c>
      <c r="G98">
        <v>8000</v>
      </c>
      <c r="H98">
        <v>72000</v>
      </c>
    </row>
    <row r="99" spans="1:8" x14ac:dyDescent="0.25">
      <c r="A99">
        <v>95</v>
      </c>
      <c r="B99" s="1">
        <v>46010</v>
      </c>
      <c r="C99" t="s">
        <v>24</v>
      </c>
      <c r="D99" t="s">
        <v>27</v>
      </c>
      <c r="E99" t="s">
        <v>20</v>
      </c>
      <c r="F99">
        <v>4</v>
      </c>
      <c r="G99">
        <v>230</v>
      </c>
      <c r="H99">
        <v>920</v>
      </c>
    </row>
    <row r="100" spans="1:8" x14ac:dyDescent="0.25">
      <c r="A100">
        <v>96</v>
      </c>
      <c r="B100" s="1">
        <v>46011</v>
      </c>
      <c r="C100" t="s">
        <v>25</v>
      </c>
      <c r="D100" t="s">
        <v>27</v>
      </c>
      <c r="E100" t="s">
        <v>16</v>
      </c>
      <c r="F100">
        <v>3</v>
      </c>
      <c r="G100">
        <v>50</v>
      </c>
      <c r="H100">
        <v>150</v>
      </c>
    </row>
    <row r="101" spans="1:8" x14ac:dyDescent="0.25">
      <c r="A101">
        <v>97</v>
      </c>
      <c r="B101" s="1">
        <v>46012</v>
      </c>
      <c r="C101" t="s">
        <v>17</v>
      </c>
      <c r="D101" t="s">
        <v>9</v>
      </c>
      <c r="E101" t="s">
        <v>22</v>
      </c>
      <c r="F101">
        <v>9</v>
      </c>
      <c r="G101">
        <v>500</v>
      </c>
      <c r="H101">
        <v>4500</v>
      </c>
    </row>
    <row r="102" spans="1:8" x14ac:dyDescent="0.25">
      <c r="A102">
        <v>98</v>
      </c>
      <c r="B102" s="1">
        <v>46013</v>
      </c>
      <c r="C102" t="s">
        <v>24</v>
      </c>
      <c r="D102" t="s">
        <v>9</v>
      </c>
      <c r="E102" t="s">
        <v>13</v>
      </c>
      <c r="F102">
        <v>6</v>
      </c>
      <c r="G102">
        <v>600</v>
      </c>
      <c r="H102">
        <v>3600</v>
      </c>
    </row>
    <row r="103" spans="1:8" x14ac:dyDescent="0.25">
      <c r="A103">
        <v>99</v>
      </c>
      <c r="B103" s="1">
        <v>46014</v>
      </c>
      <c r="C103" t="s">
        <v>14</v>
      </c>
      <c r="D103" t="s">
        <v>12</v>
      </c>
      <c r="E103" t="s">
        <v>20</v>
      </c>
      <c r="F103">
        <v>9</v>
      </c>
      <c r="G103">
        <v>230</v>
      </c>
      <c r="H103">
        <v>2070</v>
      </c>
    </row>
    <row r="104" spans="1:8" x14ac:dyDescent="0.25">
      <c r="A104">
        <v>100</v>
      </c>
      <c r="B104" s="1">
        <v>46015</v>
      </c>
      <c r="C104" t="s">
        <v>23</v>
      </c>
      <c r="D104" t="s">
        <v>12</v>
      </c>
      <c r="E104" t="s">
        <v>22</v>
      </c>
      <c r="F104">
        <v>4</v>
      </c>
      <c r="G104">
        <v>50</v>
      </c>
      <c r="H104">
        <v>200</v>
      </c>
    </row>
    <row r="105" spans="1:8" x14ac:dyDescent="0.25">
      <c r="A105">
        <v>101</v>
      </c>
      <c r="B105" s="1">
        <v>46016</v>
      </c>
      <c r="C105" t="s">
        <v>23</v>
      </c>
      <c r="D105" t="s">
        <v>27</v>
      </c>
      <c r="E105" t="s">
        <v>28</v>
      </c>
      <c r="F105">
        <v>7</v>
      </c>
      <c r="G105">
        <v>600</v>
      </c>
      <c r="H105">
        <v>4200</v>
      </c>
    </row>
    <row r="106" spans="1:8" x14ac:dyDescent="0.25">
      <c r="A106">
        <v>102</v>
      </c>
      <c r="B106" s="1">
        <v>46017</v>
      </c>
      <c r="C106" t="s">
        <v>23</v>
      </c>
      <c r="D106" t="s">
        <v>18</v>
      </c>
      <c r="E106" t="s">
        <v>13</v>
      </c>
      <c r="F106">
        <v>5</v>
      </c>
      <c r="G106">
        <v>120</v>
      </c>
      <c r="H106">
        <v>600</v>
      </c>
    </row>
    <row r="107" spans="1:8" x14ac:dyDescent="0.25">
      <c r="A107">
        <v>103</v>
      </c>
      <c r="B107" s="1">
        <v>46018</v>
      </c>
      <c r="C107" t="s">
        <v>14</v>
      </c>
      <c r="D107" t="s">
        <v>27</v>
      </c>
      <c r="E107" t="s">
        <v>13</v>
      </c>
      <c r="F107">
        <v>7</v>
      </c>
      <c r="G107">
        <v>100</v>
      </c>
      <c r="H107">
        <v>700</v>
      </c>
    </row>
    <row r="108" spans="1:8" x14ac:dyDescent="0.25">
      <c r="A108">
        <v>104</v>
      </c>
      <c r="B108" s="1">
        <v>46019</v>
      </c>
      <c r="C108" t="s">
        <v>19</v>
      </c>
      <c r="D108" t="s">
        <v>18</v>
      </c>
      <c r="E108" t="s">
        <v>22</v>
      </c>
      <c r="F108">
        <v>10</v>
      </c>
      <c r="G108">
        <v>120</v>
      </c>
      <c r="H108">
        <v>1200</v>
      </c>
    </row>
    <row r="109" spans="1:8" x14ac:dyDescent="0.25">
      <c r="A109">
        <v>105</v>
      </c>
      <c r="B109" s="1">
        <v>46020</v>
      </c>
      <c r="C109" t="s">
        <v>14</v>
      </c>
      <c r="D109" t="s">
        <v>9</v>
      </c>
      <c r="E109" t="s">
        <v>10</v>
      </c>
      <c r="F109">
        <v>8</v>
      </c>
      <c r="G109">
        <v>600</v>
      </c>
      <c r="H109">
        <v>4800</v>
      </c>
    </row>
    <row r="110" spans="1:8" x14ac:dyDescent="0.25">
      <c r="A110">
        <v>106</v>
      </c>
      <c r="B110" s="1">
        <v>46021</v>
      </c>
      <c r="C110" t="s">
        <v>23</v>
      </c>
      <c r="D110" t="s">
        <v>12</v>
      </c>
      <c r="E110" t="s">
        <v>16</v>
      </c>
      <c r="F110">
        <v>9</v>
      </c>
      <c r="G110">
        <v>100</v>
      </c>
      <c r="H110">
        <v>900</v>
      </c>
    </row>
    <row r="111" spans="1:8" x14ac:dyDescent="0.25">
      <c r="A111">
        <v>107</v>
      </c>
      <c r="B111" s="1">
        <v>46022</v>
      </c>
      <c r="C111" t="s">
        <v>19</v>
      </c>
      <c r="D111" t="s">
        <v>9</v>
      </c>
      <c r="E111" t="s">
        <v>10</v>
      </c>
      <c r="F111">
        <v>2</v>
      </c>
      <c r="G111">
        <v>600</v>
      </c>
      <c r="H111">
        <v>1200</v>
      </c>
    </row>
    <row r="112" spans="1:8" x14ac:dyDescent="0.25">
      <c r="A112">
        <v>108</v>
      </c>
      <c r="B112" s="1">
        <v>46023</v>
      </c>
      <c r="C112" t="s">
        <v>11</v>
      </c>
      <c r="D112" t="s">
        <v>27</v>
      </c>
      <c r="E112" t="s">
        <v>28</v>
      </c>
      <c r="F112">
        <v>10</v>
      </c>
      <c r="G112">
        <v>50</v>
      </c>
      <c r="H112">
        <v>500</v>
      </c>
    </row>
    <row r="113" spans="1:8" x14ac:dyDescent="0.25">
      <c r="A113">
        <v>109</v>
      </c>
      <c r="B113" s="1">
        <v>46024</v>
      </c>
      <c r="C113" t="s">
        <v>19</v>
      </c>
      <c r="D113" t="s">
        <v>12</v>
      </c>
      <c r="E113" t="s">
        <v>16</v>
      </c>
      <c r="F113">
        <v>5</v>
      </c>
      <c r="G113">
        <v>600</v>
      </c>
      <c r="H113">
        <v>3000</v>
      </c>
    </row>
    <row r="114" spans="1:8" x14ac:dyDescent="0.25">
      <c r="A114">
        <v>110</v>
      </c>
      <c r="B114" s="1">
        <v>46025</v>
      </c>
      <c r="C114" t="s">
        <v>19</v>
      </c>
      <c r="D114" t="s">
        <v>9</v>
      </c>
      <c r="E114" t="s">
        <v>20</v>
      </c>
      <c r="F114">
        <v>4</v>
      </c>
      <c r="G114">
        <v>8000</v>
      </c>
      <c r="H114">
        <v>32000</v>
      </c>
    </row>
    <row r="115" spans="1:8" x14ac:dyDescent="0.25">
      <c r="A115">
        <v>111</v>
      </c>
      <c r="B115" s="1">
        <v>46026</v>
      </c>
      <c r="C115" t="s">
        <v>19</v>
      </c>
      <c r="D115" t="s">
        <v>27</v>
      </c>
      <c r="E115" t="s">
        <v>16</v>
      </c>
      <c r="F115">
        <v>7</v>
      </c>
      <c r="G115">
        <v>500</v>
      </c>
      <c r="H115">
        <v>3500</v>
      </c>
    </row>
    <row r="116" spans="1:8" x14ac:dyDescent="0.25">
      <c r="A116">
        <v>112</v>
      </c>
      <c r="B116" s="1">
        <v>46027</v>
      </c>
      <c r="C116" t="s">
        <v>14</v>
      </c>
      <c r="D116" t="s">
        <v>18</v>
      </c>
      <c r="E116" t="s">
        <v>20</v>
      </c>
      <c r="F116">
        <v>6</v>
      </c>
      <c r="G116">
        <v>50</v>
      </c>
      <c r="H116">
        <v>300</v>
      </c>
    </row>
    <row r="117" spans="1:8" x14ac:dyDescent="0.25">
      <c r="A117">
        <v>113</v>
      </c>
      <c r="B117" s="1">
        <v>46028</v>
      </c>
      <c r="C117" t="s">
        <v>8</v>
      </c>
      <c r="D117" t="s">
        <v>12</v>
      </c>
      <c r="E117" t="s">
        <v>13</v>
      </c>
      <c r="F117">
        <v>10</v>
      </c>
      <c r="G117">
        <v>100</v>
      </c>
      <c r="H117">
        <v>1000</v>
      </c>
    </row>
    <row r="118" spans="1:8" x14ac:dyDescent="0.25">
      <c r="A118">
        <v>114</v>
      </c>
      <c r="B118" s="1">
        <v>46029</v>
      </c>
      <c r="C118" t="s">
        <v>21</v>
      </c>
      <c r="D118" t="s">
        <v>12</v>
      </c>
      <c r="E118" t="s">
        <v>16</v>
      </c>
      <c r="F118">
        <v>7</v>
      </c>
      <c r="G118">
        <v>230</v>
      </c>
      <c r="H118">
        <v>1610</v>
      </c>
    </row>
    <row r="119" spans="1:8" x14ac:dyDescent="0.25">
      <c r="A119">
        <v>115</v>
      </c>
      <c r="B119" s="1">
        <v>46030</v>
      </c>
      <c r="C119" t="s">
        <v>26</v>
      </c>
      <c r="D119" t="s">
        <v>12</v>
      </c>
      <c r="E119" t="s">
        <v>28</v>
      </c>
      <c r="F119">
        <v>4</v>
      </c>
      <c r="G119">
        <v>100</v>
      </c>
      <c r="H119">
        <v>400</v>
      </c>
    </row>
    <row r="120" spans="1:8" x14ac:dyDescent="0.25">
      <c r="A120">
        <v>116</v>
      </c>
      <c r="B120" s="1">
        <v>46031</v>
      </c>
      <c r="C120" t="s">
        <v>23</v>
      </c>
      <c r="D120" t="s">
        <v>27</v>
      </c>
      <c r="E120" t="s">
        <v>15</v>
      </c>
      <c r="F120">
        <v>3</v>
      </c>
      <c r="G120">
        <v>50</v>
      </c>
      <c r="H120">
        <v>150</v>
      </c>
    </row>
    <row r="121" spans="1:8" x14ac:dyDescent="0.25">
      <c r="A121">
        <v>117</v>
      </c>
      <c r="B121" s="1">
        <v>46032</v>
      </c>
      <c r="C121" t="s">
        <v>14</v>
      </c>
      <c r="D121" t="s">
        <v>9</v>
      </c>
      <c r="E121" t="s">
        <v>13</v>
      </c>
      <c r="F121">
        <v>8</v>
      </c>
      <c r="G121">
        <v>100</v>
      </c>
      <c r="H121">
        <v>800</v>
      </c>
    </row>
    <row r="122" spans="1:8" x14ac:dyDescent="0.25">
      <c r="A122">
        <v>118</v>
      </c>
      <c r="B122" s="1">
        <v>46033</v>
      </c>
      <c r="C122" t="s">
        <v>25</v>
      </c>
      <c r="D122" t="s">
        <v>9</v>
      </c>
      <c r="E122" t="s">
        <v>20</v>
      </c>
      <c r="F122">
        <v>10</v>
      </c>
      <c r="G122">
        <v>230</v>
      </c>
      <c r="H122">
        <v>2300</v>
      </c>
    </row>
    <row r="123" spans="1:8" x14ac:dyDescent="0.25">
      <c r="A123">
        <v>119</v>
      </c>
      <c r="B123" s="1">
        <v>46034</v>
      </c>
      <c r="C123" t="s">
        <v>8</v>
      </c>
      <c r="D123" t="s">
        <v>12</v>
      </c>
      <c r="E123" t="s">
        <v>10</v>
      </c>
      <c r="F123">
        <v>6</v>
      </c>
      <c r="G123">
        <v>230</v>
      </c>
      <c r="H123">
        <v>1380</v>
      </c>
    </row>
    <row r="124" spans="1:8" x14ac:dyDescent="0.25">
      <c r="A124">
        <v>120</v>
      </c>
      <c r="B124" s="1">
        <v>46035</v>
      </c>
      <c r="C124" t="s">
        <v>19</v>
      </c>
      <c r="D124" t="s">
        <v>9</v>
      </c>
      <c r="E124" t="s">
        <v>15</v>
      </c>
      <c r="F124">
        <v>7</v>
      </c>
      <c r="G124">
        <v>230</v>
      </c>
      <c r="H124">
        <v>1610</v>
      </c>
    </row>
    <row r="125" spans="1:8" x14ac:dyDescent="0.25">
      <c r="A125">
        <v>121</v>
      </c>
      <c r="B125" s="1">
        <v>46036</v>
      </c>
      <c r="C125" t="s">
        <v>19</v>
      </c>
      <c r="D125" t="s">
        <v>18</v>
      </c>
      <c r="E125" t="s">
        <v>13</v>
      </c>
      <c r="F125">
        <v>6</v>
      </c>
      <c r="G125">
        <v>120</v>
      </c>
      <c r="H125">
        <v>720</v>
      </c>
    </row>
    <row r="126" spans="1:8" x14ac:dyDescent="0.25">
      <c r="A126">
        <v>122</v>
      </c>
      <c r="B126" s="1">
        <v>46037</v>
      </c>
      <c r="C126" t="s">
        <v>8</v>
      </c>
      <c r="D126" t="s">
        <v>18</v>
      </c>
      <c r="E126" t="s">
        <v>28</v>
      </c>
      <c r="F126">
        <v>3</v>
      </c>
      <c r="G126">
        <v>8000</v>
      </c>
      <c r="H126">
        <v>24000</v>
      </c>
    </row>
    <row r="127" spans="1:8" x14ac:dyDescent="0.25">
      <c r="A127">
        <v>123</v>
      </c>
      <c r="B127" s="1">
        <v>46038</v>
      </c>
      <c r="C127" t="s">
        <v>14</v>
      </c>
      <c r="D127" t="s">
        <v>27</v>
      </c>
      <c r="E127" t="s">
        <v>28</v>
      </c>
      <c r="F127">
        <v>2</v>
      </c>
      <c r="G127">
        <v>50</v>
      </c>
      <c r="H127">
        <v>100</v>
      </c>
    </row>
    <row r="128" spans="1:8" x14ac:dyDescent="0.25">
      <c r="A128">
        <v>124</v>
      </c>
      <c r="B128" s="1">
        <v>46039</v>
      </c>
      <c r="C128" t="s">
        <v>17</v>
      </c>
      <c r="D128" t="s">
        <v>12</v>
      </c>
      <c r="E128" t="s">
        <v>16</v>
      </c>
      <c r="F128">
        <v>5</v>
      </c>
      <c r="G128">
        <v>50</v>
      </c>
      <c r="H128">
        <v>250</v>
      </c>
    </row>
    <row r="129" spans="1:8" x14ac:dyDescent="0.25">
      <c r="A129">
        <v>125</v>
      </c>
      <c r="B129" s="1">
        <v>46040</v>
      </c>
      <c r="C129" t="s">
        <v>26</v>
      </c>
      <c r="D129" t="s">
        <v>27</v>
      </c>
      <c r="E129" t="s">
        <v>20</v>
      </c>
      <c r="F129">
        <v>4</v>
      </c>
      <c r="G129">
        <v>230</v>
      </c>
      <c r="H129">
        <v>920</v>
      </c>
    </row>
    <row r="130" spans="1:8" x14ac:dyDescent="0.25">
      <c r="A130">
        <v>126</v>
      </c>
      <c r="B130" s="1">
        <v>46041</v>
      </c>
      <c r="C130" t="s">
        <v>25</v>
      </c>
      <c r="D130" t="s">
        <v>12</v>
      </c>
      <c r="E130" t="s">
        <v>15</v>
      </c>
      <c r="F130">
        <v>5</v>
      </c>
      <c r="G130">
        <v>500</v>
      </c>
      <c r="H130">
        <v>2500</v>
      </c>
    </row>
    <row r="131" spans="1:8" x14ac:dyDescent="0.25">
      <c r="A131">
        <v>127</v>
      </c>
      <c r="B131" s="1">
        <v>46042</v>
      </c>
      <c r="C131" t="s">
        <v>24</v>
      </c>
      <c r="D131" t="s">
        <v>27</v>
      </c>
      <c r="E131" t="s">
        <v>15</v>
      </c>
      <c r="F131">
        <v>10</v>
      </c>
      <c r="G131">
        <v>8000</v>
      </c>
      <c r="H131">
        <v>80000</v>
      </c>
    </row>
    <row r="132" spans="1:8" x14ac:dyDescent="0.25">
      <c r="A132">
        <v>128</v>
      </c>
      <c r="B132" s="1">
        <v>46043</v>
      </c>
      <c r="C132" t="s">
        <v>8</v>
      </c>
      <c r="D132" t="s">
        <v>12</v>
      </c>
      <c r="E132" t="s">
        <v>28</v>
      </c>
      <c r="F132">
        <v>4</v>
      </c>
      <c r="G132">
        <v>100</v>
      </c>
      <c r="H132">
        <v>400</v>
      </c>
    </row>
    <row r="133" spans="1:8" x14ac:dyDescent="0.25">
      <c r="A133">
        <v>129</v>
      </c>
      <c r="B133" s="1">
        <v>46044</v>
      </c>
      <c r="C133" t="s">
        <v>11</v>
      </c>
      <c r="D133" t="s">
        <v>12</v>
      </c>
      <c r="E133" t="s">
        <v>16</v>
      </c>
      <c r="F133">
        <v>5</v>
      </c>
      <c r="G133">
        <v>100</v>
      </c>
      <c r="H133">
        <v>500</v>
      </c>
    </row>
    <row r="134" spans="1:8" x14ac:dyDescent="0.25">
      <c r="A134">
        <v>130</v>
      </c>
      <c r="B134" s="1">
        <v>46045</v>
      </c>
      <c r="C134" t="s">
        <v>11</v>
      </c>
      <c r="D134" t="s">
        <v>27</v>
      </c>
      <c r="E134" t="s">
        <v>16</v>
      </c>
      <c r="F134">
        <v>4</v>
      </c>
      <c r="G134">
        <v>230</v>
      </c>
      <c r="H134">
        <v>920</v>
      </c>
    </row>
    <row r="135" spans="1:8" x14ac:dyDescent="0.25">
      <c r="A135">
        <v>131</v>
      </c>
      <c r="B135" s="1">
        <v>46046</v>
      </c>
      <c r="C135" t="s">
        <v>21</v>
      </c>
      <c r="D135" t="s">
        <v>27</v>
      </c>
      <c r="E135" t="s">
        <v>13</v>
      </c>
      <c r="F135">
        <v>7</v>
      </c>
      <c r="G135">
        <v>8000</v>
      </c>
      <c r="H135">
        <v>56000</v>
      </c>
    </row>
    <row r="136" spans="1:8" x14ac:dyDescent="0.25">
      <c r="A136">
        <v>132</v>
      </c>
      <c r="B136" s="1">
        <v>46047</v>
      </c>
      <c r="C136" t="s">
        <v>24</v>
      </c>
      <c r="D136" t="s">
        <v>9</v>
      </c>
      <c r="E136" t="s">
        <v>22</v>
      </c>
      <c r="F136">
        <v>4</v>
      </c>
      <c r="G136">
        <v>8000</v>
      </c>
      <c r="H136">
        <v>32000</v>
      </c>
    </row>
    <row r="137" spans="1:8" x14ac:dyDescent="0.25">
      <c r="A137">
        <v>133</v>
      </c>
      <c r="B137" s="1">
        <v>46048</v>
      </c>
      <c r="C137" t="s">
        <v>26</v>
      </c>
      <c r="D137" t="s">
        <v>18</v>
      </c>
      <c r="E137" t="s">
        <v>28</v>
      </c>
      <c r="F137">
        <v>10</v>
      </c>
      <c r="G137">
        <v>500</v>
      </c>
      <c r="H137">
        <v>5000</v>
      </c>
    </row>
    <row r="138" spans="1:8" x14ac:dyDescent="0.25">
      <c r="A138">
        <v>134</v>
      </c>
      <c r="B138" s="1">
        <v>46049</v>
      </c>
      <c r="C138" t="s">
        <v>25</v>
      </c>
      <c r="D138" t="s">
        <v>18</v>
      </c>
      <c r="E138" t="s">
        <v>28</v>
      </c>
      <c r="F138">
        <v>3</v>
      </c>
      <c r="G138">
        <v>600</v>
      </c>
      <c r="H138">
        <v>1800</v>
      </c>
    </row>
    <row r="139" spans="1:8" x14ac:dyDescent="0.25">
      <c r="A139">
        <v>135</v>
      </c>
      <c r="B139" s="1">
        <v>46050</v>
      </c>
      <c r="C139" t="s">
        <v>21</v>
      </c>
      <c r="D139" t="s">
        <v>27</v>
      </c>
      <c r="E139" t="s">
        <v>13</v>
      </c>
      <c r="F139">
        <v>2</v>
      </c>
      <c r="G139">
        <v>600</v>
      </c>
      <c r="H139">
        <v>1200</v>
      </c>
    </row>
    <row r="140" spans="1:8" x14ac:dyDescent="0.25">
      <c r="A140">
        <v>136</v>
      </c>
      <c r="B140" s="1">
        <v>46051</v>
      </c>
      <c r="C140" t="s">
        <v>24</v>
      </c>
      <c r="D140" t="s">
        <v>12</v>
      </c>
      <c r="E140" t="s">
        <v>28</v>
      </c>
      <c r="F140">
        <v>3</v>
      </c>
      <c r="G140">
        <v>50</v>
      </c>
      <c r="H140">
        <v>150</v>
      </c>
    </row>
    <row r="141" spans="1:8" x14ac:dyDescent="0.25">
      <c r="A141">
        <v>137</v>
      </c>
      <c r="B141" s="1">
        <v>46052</v>
      </c>
      <c r="C141" t="s">
        <v>8</v>
      </c>
      <c r="D141" t="s">
        <v>18</v>
      </c>
      <c r="E141" t="s">
        <v>28</v>
      </c>
      <c r="F141">
        <v>3</v>
      </c>
      <c r="G141">
        <v>8000</v>
      </c>
      <c r="H141">
        <v>24000</v>
      </c>
    </row>
    <row r="142" spans="1:8" x14ac:dyDescent="0.25">
      <c r="A142">
        <v>138</v>
      </c>
      <c r="B142" s="1">
        <v>46053</v>
      </c>
      <c r="C142" t="s">
        <v>23</v>
      </c>
      <c r="D142" t="s">
        <v>9</v>
      </c>
      <c r="E142" t="s">
        <v>20</v>
      </c>
      <c r="F142">
        <v>9</v>
      </c>
      <c r="G142">
        <v>600</v>
      </c>
      <c r="H142">
        <v>5400</v>
      </c>
    </row>
    <row r="143" spans="1:8" x14ac:dyDescent="0.25">
      <c r="A143">
        <v>139</v>
      </c>
      <c r="B143" s="1">
        <v>46054</v>
      </c>
      <c r="C143" t="s">
        <v>19</v>
      </c>
      <c r="D143" t="s">
        <v>27</v>
      </c>
      <c r="E143" t="s">
        <v>10</v>
      </c>
      <c r="F143">
        <v>1</v>
      </c>
      <c r="G143">
        <v>8000</v>
      </c>
      <c r="H143">
        <v>8000</v>
      </c>
    </row>
    <row r="144" spans="1:8" x14ac:dyDescent="0.25">
      <c r="A144">
        <v>140</v>
      </c>
      <c r="B144" s="1">
        <v>46055</v>
      </c>
      <c r="C144" t="s">
        <v>17</v>
      </c>
      <c r="D144" t="s">
        <v>27</v>
      </c>
      <c r="E144" t="s">
        <v>15</v>
      </c>
      <c r="F144">
        <v>4</v>
      </c>
      <c r="G144">
        <v>600</v>
      </c>
      <c r="H144">
        <v>2400</v>
      </c>
    </row>
    <row r="145" spans="1:8" x14ac:dyDescent="0.25">
      <c r="A145">
        <v>141</v>
      </c>
      <c r="B145" s="1">
        <v>46056</v>
      </c>
      <c r="C145" t="s">
        <v>17</v>
      </c>
      <c r="D145" t="s">
        <v>27</v>
      </c>
      <c r="E145" t="s">
        <v>10</v>
      </c>
      <c r="F145">
        <v>2</v>
      </c>
      <c r="G145">
        <v>8000</v>
      </c>
      <c r="H145">
        <v>16000</v>
      </c>
    </row>
    <row r="146" spans="1:8" x14ac:dyDescent="0.25">
      <c r="A146">
        <v>142</v>
      </c>
      <c r="B146" s="1">
        <v>46057</v>
      </c>
      <c r="C146" t="s">
        <v>25</v>
      </c>
      <c r="D146" t="s">
        <v>12</v>
      </c>
      <c r="E146" t="s">
        <v>16</v>
      </c>
      <c r="F146">
        <v>2</v>
      </c>
      <c r="G146">
        <v>100</v>
      </c>
      <c r="H146">
        <v>200</v>
      </c>
    </row>
    <row r="147" spans="1:8" x14ac:dyDescent="0.25">
      <c r="A147">
        <v>143</v>
      </c>
      <c r="B147" s="1">
        <v>46058</v>
      </c>
      <c r="C147" t="s">
        <v>26</v>
      </c>
      <c r="D147" t="s">
        <v>27</v>
      </c>
      <c r="E147" t="s">
        <v>10</v>
      </c>
      <c r="F147">
        <v>6</v>
      </c>
      <c r="G147">
        <v>500</v>
      </c>
      <c r="H147">
        <v>3000</v>
      </c>
    </row>
    <row r="148" spans="1:8" x14ac:dyDescent="0.25">
      <c r="A148">
        <v>144</v>
      </c>
      <c r="B148" s="1">
        <v>46059</v>
      </c>
      <c r="C148" t="s">
        <v>26</v>
      </c>
      <c r="D148" t="s">
        <v>9</v>
      </c>
      <c r="E148" t="s">
        <v>10</v>
      </c>
      <c r="F148">
        <v>5</v>
      </c>
      <c r="G148">
        <v>100</v>
      </c>
      <c r="H148">
        <v>500</v>
      </c>
    </row>
    <row r="149" spans="1:8" x14ac:dyDescent="0.25">
      <c r="A149">
        <v>145</v>
      </c>
      <c r="B149" s="1">
        <v>46060</v>
      </c>
      <c r="C149" t="s">
        <v>25</v>
      </c>
      <c r="D149" t="s">
        <v>9</v>
      </c>
      <c r="E149" t="s">
        <v>20</v>
      </c>
      <c r="F149">
        <v>2</v>
      </c>
      <c r="G149">
        <v>120</v>
      </c>
      <c r="H149">
        <v>240</v>
      </c>
    </row>
    <row r="150" spans="1:8" x14ac:dyDescent="0.25">
      <c r="A150">
        <v>146</v>
      </c>
      <c r="B150" s="1">
        <v>46061</v>
      </c>
      <c r="C150" t="s">
        <v>25</v>
      </c>
      <c r="D150" t="s">
        <v>18</v>
      </c>
      <c r="E150" t="s">
        <v>16</v>
      </c>
      <c r="F150">
        <v>1</v>
      </c>
      <c r="G150">
        <v>120</v>
      </c>
      <c r="H150">
        <v>120</v>
      </c>
    </row>
    <row r="151" spans="1:8" x14ac:dyDescent="0.25">
      <c r="A151">
        <v>147</v>
      </c>
      <c r="B151" s="1">
        <v>46062</v>
      </c>
      <c r="C151" t="s">
        <v>14</v>
      </c>
      <c r="D151" t="s">
        <v>18</v>
      </c>
      <c r="E151" t="s">
        <v>10</v>
      </c>
      <c r="F151">
        <v>1</v>
      </c>
      <c r="G151">
        <v>500</v>
      </c>
      <c r="H151">
        <v>500</v>
      </c>
    </row>
    <row r="152" spans="1:8" x14ac:dyDescent="0.25">
      <c r="A152">
        <v>148</v>
      </c>
      <c r="B152" s="1">
        <v>46063</v>
      </c>
      <c r="C152" t="s">
        <v>24</v>
      </c>
      <c r="D152" t="s">
        <v>27</v>
      </c>
      <c r="E152" t="s">
        <v>15</v>
      </c>
      <c r="F152">
        <v>2</v>
      </c>
      <c r="G152">
        <v>120</v>
      </c>
      <c r="H152">
        <v>240</v>
      </c>
    </row>
    <row r="153" spans="1:8" x14ac:dyDescent="0.25">
      <c r="A153">
        <v>149</v>
      </c>
      <c r="B153" s="1">
        <v>46064</v>
      </c>
      <c r="C153" t="s">
        <v>17</v>
      </c>
      <c r="D153" t="s">
        <v>18</v>
      </c>
      <c r="E153" t="s">
        <v>15</v>
      </c>
      <c r="F153">
        <v>9</v>
      </c>
      <c r="G153">
        <v>120</v>
      </c>
      <c r="H153">
        <v>1080</v>
      </c>
    </row>
    <row r="154" spans="1:8" x14ac:dyDescent="0.25">
      <c r="A154">
        <v>150</v>
      </c>
      <c r="B154" s="1">
        <v>46065</v>
      </c>
      <c r="C154" t="s">
        <v>14</v>
      </c>
      <c r="D154" t="s">
        <v>12</v>
      </c>
      <c r="E154" t="s">
        <v>22</v>
      </c>
      <c r="F154">
        <v>8</v>
      </c>
      <c r="G154">
        <v>50</v>
      </c>
      <c r="H154">
        <v>400</v>
      </c>
    </row>
    <row r="155" spans="1:8" x14ac:dyDescent="0.25">
      <c r="A155">
        <v>151</v>
      </c>
      <c r="B155" s="1">
        <v>46066</v>
      </c>
      <c r="C155" t="s">
        <v>17</v>
      </c>
      <c r="D155" t="s">
        <v>9</v>
      </c>
      <c r="E155" t="s">
        <v>15</v>
      </c>
      <c r="F155">
        <v>1</v>
      </c>
      <c r="G155">
        <v>8000</v>
      </c>
      <c r="H155">
        <v>8000</v>
      </c>
    </row>
    <row r="156" spans="1:8" x14ac:dyDescent="0.25">
      <c r="A156">
        <v>152</v>
      </c>
      <c r="B156" s="1">
        <v>46067</v>
      </c>
      <c r="C156" t="s">
        <v>26</v>
      </c>
      <c r="D156" t="s">
        <v>12</v>
      </c>
      <c r="E156" t="s">
        <v>28</v>
      </c>
      <c r="F156">
        <v>5</v>
      </c>
      <c r="G156">
        <v>500</v>
      </c>
      <c r="H156">
        <v>2500</v>
      </c>
    </row>
    <row r="157" spans="1:8" x14ac:dyDescent="0.25">
      <c r="A157">
        <v>153</v>
      </c>
      <c r="B157" s="1">
        <v>46068</v>
      </c>
      <c r="C157" t="s">
        <v>21</v>
      </c>
      <c r="D157" t="s">
        <v>27</v>
      </c>
      <c r="E157" t="s">
        <v>10</v>
      </c>
      <c r="F157">
        <v>8</v>
      </c>
      <c r="G157">
        <v>120</v>
      </c>
      <c r="H157">
        <v>960</v>
      </c>
    </row>
    <row r="158" spans="1:8" x14ac:dyDescent="0.25">
      <c r="A158">
        <v>154</v>
      </c>
      <c r="B158" s="1">
        <v>46069</v>
      </c>
      <c r="C158" t="s">
        <v>25</v>
      </c>
      <c r="D158" t="s">
        <v>12</v>
      </c>
      <c r="E158" t="s">
        <v>13</v>
      </c>
      <c r="F158">
        <v>10</v>
      </c>
      <c r="G158">
        <v>100</v>
      </c>
      <c r="H158">
        <v>1000</v>
      </c>
    </row>
    <row r="159" spans="1:8" x14ac:dyDescent="0.25">
      <c r="A159">
        <v>155</v>
      </c>
      <c r="B159" s="1">
        <v>46070</v>
      </c>
      <c r="C159" t="s">
        <v>11</v>
      </c>
      <c r="D159" t="s">
        <v>12</v>
      </c>
      <c r="E159" t="s">
        <v>13</v>
      </c>
      <c r="F159">
        <v>9</v>
      </c>
      <c r="G159">
        <v>600</v>
      </c>
      <c r="H159">
        <v>5400</v>
      </c>
    </row>
    <row r="160" spans="1:8" x14ac:dyDescent="0.25">
      <c r="A160">
        <v>156</v>
      </c>
      <c r="B160" s="1">
        <v>46071</v>
      </c>
      <c r="C160" t="s">
        <v>23</v>
      </c>
      <c r="D160" t="s">
        <v>18</v>
      </c>
      <c r="E160" t="s">
        <v>15</v>
      </c>
      <c r="F160">
        <v>7</v>
      </c>
      <c r="G160">
        <v>8000</v>
      </c>
      <c r="H160">
        <v>56000</v>
      </c>
    </row>
    <row r="161" spans="1:8" x14ac:dyDescent="0.25">
      <c r="A161">
        <v>157</v>
      </c>
      <c r="B161" s="1">
        <v>46072</v>
      </c>
      <c r="C161" t="s">
        <v>26</v>
      </c>
      <c r="D161" t="s">
        <v>12</v>
      </c>
      <c r="E161" t="s">
        <v>13</v>
      </c>
      <c r="F161">
        <v>1</v>
      </c>
      <c r="G161">
        <v>100</v>
      </c>
      <c r="H161">
        <v>100</v>
      </c>
    </row>
    <row r="162" spans="1:8" x14ac:dyDescent="0.25">
      <c r="A162">
        <v>158</v>
      </c>
      <c r="B162" s="1">
        <v>46073</v>
      </c>
      <c r="C162" t="s">
        <v>25</v>
      </c>
      <c r="D162" t="s">
        <v>12</v>
      </c>
      <c r="E162" t="s">
        <v>22</v>
      </c>
      <c r="F162">
        <v>3</v>
      </c>
      <c r="G162">
        <v>230</v>
      </c>
      <c r="H162">
        <v>690</v>
      </c>
    </row>
    <row r="163" spans="1:8" x14ac:dyDescent="0.25">
      <c r="A163">
        <v>159</v>
      </c>
      <c r="B163" s="1">
        <v>46074</v>
      </c>
      <c r="C163" t="s">
        <v>17</v>
      </c>
      <c r="D163" t="s">
        <v>9</v>
      </c>
      <c r="E163" t="s">
        <v>15</v>
      </c>
      <c r="F163">
        <v>3</v>
      </c>
      <c r="G163">
        <v>500</v>
      </c>
      <c r="H163">
        <v>1500</v>
      </c>
    </row>
    <row r="164" spans="1:8" x14ac:dyDescent="0.25">
      <c r="A164">
        <v>160</v>
      </c>
      <c r="B164" s="1">
        <v>46075</v>
      </c>
      <c r="C164" t="s">
        <v>14</v>
      </c>
      <c r="D164" t="s">
        <v>27</v>
      </c>
      <c r="E164" t="s">
        <v>13</v>
      </c>
      <c r="F164">
        <v>8</v>
      </c>
      <c r="G164">
        <v>600</v>
      </c>
      <c r="H164">
        <v>4800</v>
      </c>
    </row>
    <row r="165" spans="1:8" x14ac:dyDescent="0.25">
      <c r="A165">
        <v>161</v>
      </c>
      <c r="B165" s="1">
        <v>46076</v>
      </c>
      <c r="C165" t="s">
        <v>19</v>
      </c>
      <c r="D165" t="s">
        <v>18</v>
      </c>
      <c r="E165" t="s">
        <v>28</v>
      </c>
      <c r="F165">
        <v>7</v>
      </c>
      <c r="G165">
        <v>500</v>
      </c>
      <c r="H165">
        <v>3500</v>
      </c>
    </row>
    <row r="166" spans="1:8" x14ac:dyDescent="0.25">
      <c r="A166">
        <v>162</v>
      </c>
      <c r="B166" s="1">
        <v>46077</v>
      </c>
      <c r="C166" t="s">
        <v>17</v>
      </c>
      <c r="D166" t="s">
        <v>12</v>
      </c>
      <c r="E166" t="s">
        <v>22</v>
      </c>
      <c r="F166">
        <v>8</v>
      </c>
      <c r="G166">
        <v>500</v>
      </c>
      <c r="H166">
        <v>4000</v>
      </c>
    </row>
    <row r="167" spans="1:8" x14ac:dyDescent="0.25">
      <c r="A167">
        <v>163</v>
      </c>
      <c r="B167" s="1">
        <v>46078</v>
      </c>
      <c r="C167" t="s">
        <v>23</v>
      </c>
      <c r="D167" t="s">
        <v>18</v>
      </c>
      <c r="E167" t="s">
        <v>16</v>
      </c>
      <c r="F167">
        <v>4</v>
      </c>
      <c r="G167">
        <v>100</v>
      </c>
      <c r="H167">
        <v>400</v>
      </c>
    </row>
    <row r="168" spans="1:8" x14ac:dyDescent="0.25">
      <c r="A168">
        <v>164</v>
      </c>
      <c r="B168" s="1">
        <v>46079</v>
      </c>
      <c r="C168" t="s">
        <v>8</v>
      </c>
      <c r="D168" t="s">
        <v>18</v>
      </c>
      <c r="E168" t="s">
        <v>16</v>
      </c>
      <c r="F168">
        <v>5</v>
      </c>
      <c r="G168">
        <v>600</v>
      </c>
      <c r="H168">
        <v>3000</v>
      </c>
    </row>
    <row r="169" spans="1:8" x14ac:dyDescent="0.25">
      <c r="A169">
        <v>165</v>
      </c>
      <c r="B169" s="1">
        <v>46080</v>
      </c>
      <c r="C169" t="s">
        <v>26</v>
      </c>
      <c r="D169" t="s">
        <v>27</v>
      </c>
      <c r="E169" t="s">
        <v>22</v>
      </c>
      <c r="F169">
        <v>3</v>
      </c>
      <c r="G169">
        <v>120</v>
      </c>
      <c r="H169">
        <v>360</v>
      </c>
    </row>
    <row r="170" spans="1:8" x14ac:dyDescent="0.25">
      <c r="A170">
        <v>166</v>
      </c>
      <c r="B170" s="1">
        <v>46081</v>
      </c>
      <c r="C170" t="s">
        <v>23</v>
      </c>
      <c r="D170" t="s">
        <v>9</v>
      </c>
      <c r="E170" t="s">
        <v>13</v>
      </c>
      <c r="F170">
        <v>7</v>
      </c>
      <c r="G170">
        <v>50</v>
      </c>
      <c r="H170">
        <v>350</v>
      </c>
    </row>
    <row r="171" spans="1:8" x14ac:dyDescent="0.25">
      <c r="A171">
        <v>167</v>
      </c>
      <c r="B171" s="1">
        <v>46082</v>
      </c>
      <c r="C171" t="s">
        <v>24</v>
      </c>
      <c r="D171" t="s">
        <v>9</v>
      </c>
      <c r="E171" t="s">
        <v>15</v>
      </c>
      <c r="F171">
        <v>10</v>
      </c>
      <c r="G171">
        <v>8000</v>
      </c>
      <c r="H171">
        <v>80000</v>
      </c>
    </row>
    <row r="172" spans="1:8" x14ac:dyDescent="0.25">
      <c r="A172">
        <v>168</v>
      </c>
      <c r="B172" s="1">
        <v>46083</v>
      </c>
      <c r="C172" t="s">
        <v>17</v>
      </c>
      <c r="D172" t="s">
        <v>27</v>
      </c>
      <c r="E172" t="s">
        <v>28</v>
      </c>
      <c r="F172">
        <v>6</v>
      </c>
      <c r="G172">
        <v>120</v>
      </c>
      <c r="H172">
        <v>720</v>
      </c>
    </row>
    <row r="173" spans="1:8" x14ac:dyDescent="0.25">
      <c r="A173">
        <v>169</v>
      </c>
      <c r="B173" s="1">
        <v>46084</v>
      </c>
      <c r="C173" t="s">
        <v>19</v>
      </c>
      <c r="D173" t="s">
        <v>18</v>
      </c>
      <c r="E173" t="s">
        <v>16</v>
      </c>
      <c r="F173">
        <v>10</v>
      </c>
      <c r="G173">
        <v>50</v>
      </c>
      <c r="H173">
        <v>500</v>
      </c>
    </row>
    <row r="174" spans="1:8" x14ac:dyDescent="0.25">
      <c r="A174">
        <v>170</v>
      </c>
      <c r="B174" s="1">
        <v>46085</v>
      </c>
      <c r="C174" t="s">
        <v>8</v>
      </c>
      <c r="D174" t="s">
        <v>18</v>
      </c>
      <c r="E174" t="s">
        <v>20</v>
      </c>
      <c r="F174">
        <v>2</v>
      </c>
      <c r="G174">
        <v>600</v>
      </c>
      <c r="H174">
        <v>1200</v>
      </c>
    </row>
    <row r="175" spans="1:8" x14ac:dyDescent="0.25">
      <c r="A175">
        <v>171</v>
      </c>
      <c r="B175" s="1">
        <v>46086</v>
      </c>
      <c r="C175" t="s">
        <v>25</v>
      </c>
      <c r="D175" t="s">
        <v>27</v>
      </c>
      <c r="E175" t="s">
        <v>15</v>
      </c>
      <c r="F175">
        <v>3</v>
      </c>
      <c r="G175">
        <v>600</v>
      </c>
      <c r="H175">
        <v>1800</v>
      </c>
    </row>
    <row r="176" spans="1:8" x14ac:dyDescent="0.25">
      <c r="A176">
        <v>172</v>
      </c>
      <c r="B176" s="1">
        <v>46087</v>
      </c>
      <c r="C176" t="s">
        <v>25</v>
      </c>
      <c r="D176" t="s">
        <v>12</v>
      </c>
      <c r="E176" t="s">
        <v>13</v>
      </c>
      <c r="F176">
        <v>1</v>
      </c>
      <c r="G176">
        <v>500</v>
      </c>
      <c r="H176">
        <v>500</v>
      </c>
    </row>
    <row r="177" spans="1:8" x14ac:dyDescent="0.25">
      <c r="A177">
        <v>173</v>
      </c>
      <c r="B177" s="1">
        <v>46088</v>
      </c>
      <c r="C177" t="s">
        <v>17</v>
      </c>
      <c r="D177" t="s">
        <v>9</v>
      </c>
      <c r="E177" t="s">
        <v>28</v>
      </c>
      <c r="F177">
        <v>8</v>
      </c>
      <c r="G177">
        <v>100</v>
      </c>
      <c r="H177">
        <v>800</v>
      </c>
    </row>
    <row r="178" spans="1:8" x14ac:dyDescent="0.25">
      <c r="A178">
        <v>174</v>
      </c>
      <c r="B178" s="1">
        <v>46089</v>
      </c>
      <c r="C178" t="s">
        <v>23</v>
      </c>
      <c r="D178" t="s">
        <v>27</v>
      </c>
      <c r="E178" t="s">
        <v>10</v>
      </c>
      <c r="F178">
        <v>5</v>
      </c>
      <c r="G178">
        <v>230</v>
      </c>
      <c r="H178">
        <v>1150</v>
      </c>
    </row>
    <row r="179" spans="1:8" x14ac:dyDescent="0.25">
      <c r="A179">
        <v>175</v>
      </c>
      <c r="B179" s="1">
        <v>46090</v>
      </c>
      <c r="C179" t="s">
        <v>21</v>
      </c>
      <c r="D179" t="s">
        <v>18</v>
      </c>
      <c r="E179" t="s">
        <v>20</v>
      </c>
      <c r="F179">
        <v>1</v>
      </c>
      <c r="G179">
        <v>50</v>
      </c>
      <c r="H179">
        <v>50</v>
      </c>
    </row>
    <row r="180" spans="1:8" x14ac:dyDescent="0.25">
      <c r="A180">
        <v>176</v>
      </c>
      <c r="B180" s="1">
        <v>46091</v>
      </c>
      <c r="C180" t="s">
        <v>23</v>
      </c>
      <c r="D180" t="s">
        <v>27</v>
      </c>
      <c r="E180" t="s">
        <v>22</v>
      </c>
      <c r="F180">
        <v>1</v>
      </c>
      <c r="G180">
        <v>600</v>
      </c>
      <c r="H180">
        <v>600</v>
      </c>
    </row>
    <row r="181" spans="1:8" x14ac:dyDescent="0.25">
      <c r="A181">
        <v>177</v>
      </c>
      <c r="B181" s="1">
        <v>46092</v>
      </c>
      <c r="C181" t="s">
        <v>21</v>
      </c>
      <c r="D181" t="s">
        <v>12</v>
      </c>
      <c r="E181" t="s">
        <v>22</v>
      </c>
      <c r="F181">
        <v>6</v>
      </c>
      <c r="G181">
        <v>120</v>
      </c>
      <c r="H181">
        <v>720</v>
      </c>
    </row>
    <row r="182" spans="1:8" x14ac:dyDescent="0.25">
      <c r="A182">
        <v>178</v>
      </c>
      <c r="B182" s="1">
        <v>46093</v>
      </c>
      <c r="C182" t="s">
        <v>19</v>
      </c>
      <c r="D182" t="s">
        <v>18</v>
      </c>
      <c r="E182" t="s">
        <v>13</v>
      </c>
      <c r="F182">
        <v>5</v>
      </c>
      <c r="G182">
        <v>50</v>
      </c>
      <c r="H182">
        <v>250</v>
      </c>
    </row>
    <row r="183" spans="1:8" x14ac:dyDescent="0.25">
      <c r="A183">
        <v>179</v>
      </c>
      <c r="B183" s="1">
        <v>46094</v>
      </c>
      <c r="C183" t="s">
        <v>17</v>
      </c>
      <c r="D183" t="s">
        <v>27</v>
      </c>
      <c r="E183" t="s">
        <v>22</v>
      </c>
      <c r="F183">
        <v>10</v>
      </c>
      <c r="G183">
        <v>120</v>
      </c>
      <c r="H183">
        <v>1200</v>
      </c>
    </row>
    <row r="184" spans="1:8" x14ac:dyDescent="0.25">
      <c r="A184">
        <v>180</v>
      </c>
      <c r="B184" s="1">
        <v>46095</v>
      </c>
      <c r="C184" t="s">
        <v>17</v>
      </c>
      <c r="D184" t="s">
        <v>27</v>
      </c>
      <c r="E184" t="s">
        <v>15</v>
      </c>
      <c r="F184">
        <v>8</v>
      </c>
      <c r="G184">
        <v>8000</v>
      </c>
      <c r="H184">
        <v>64000</v>
      </c>
    </row>
    <row r="185" spans="1:8" x14ac:dyDescent="0.25">
      <c r="A185">
        <v>181</v>
      </c>
      <c r="B185" s="1">
        <v>46096</v>
      </c>
      <c r="C185" t="s">
        <v>11</v>
      </c>
      <c r="D185" t="s">
        <v>9</v>
      </c>
      <c r="E185" t="s">
        <v>20</v>
      </c>
      <c r="F185">
        <v>7</v>
      </c>
      <c r="G185">
        <v>8000</v>
      </c>
      <c r="H185">
        <v>56000</v>
      </c>
    </row>
    <row r="186" spans="1:8" x14ac:dyDescent="0.25">
      <c r="A186">
        <v>182</v>
      </c>
      <c r="B186" s="1">
        <v>46097</v>
      </c>
      <c r="C186" t="s">
        <v>8</v>
      </c>
      <c r="D186" t="s">
        <v>27</v>
      </c>
      <c r="E186" t="s">
        <v>28</v>
      </c>
      <c r="F186">
        <v>2</v>
      </c>
      <c r="G186">
        <v>100</v>
      </c>
      <c r="H186">
        <v>200</v>
      </c>
    </row>
    <row r="187" spans="1:8" x14ac:dyDescent="0.25">
      <c r="A187">
        <v>183</v>
      </c>
      <c r="B187" s="1">
        <v>46098</v>
      </c>
      <c r="C187" t="s">
        <v>26</v>
      </c>
      <c r="D187" t="s">
        <v>12</v>
      </c>
      <c r="E187" t="s">
        <v>16</v>
      </c>
      <c r="F187">
        <v>2</v>
      </c>
      <c r="G187">
        <v>50</v>
      </c>
      <c r="H187">
        <v>100</v>
      </c>
    </row>
    <row r="188" spans="1:8" x14ac:dyDescent="0.25">
      <c r="A188">
        <v>184</v>
      </c>
      <c r="B188" s="1">
        <v>46099</v>
      </c>
      <c r="C188" t="s">
        <v>21</v>
      </c>
      <c r="D188" t="s">
        <v>12</v>
      </c>
      <c r="E188" t="s">
        <v>13</v>
      </c>
      <c r="F188">
        <v>2</v>
      </c>
      <c r="G188">
        <v>50</v>
      </c>
      <c r="H188">
        <v>100</v>
      </c>
    </row>
    <row r="189" spans="1:8" x14ac:dyDescent="0.25">
      <c r="A189">
        <v>185</v>
      </c>
      <c r="B189" s="1">
        <v>46100</v>
      </c>
      <c r="C189" t="s">
        <v>14</v>
      </c>
      <c r="D189" t="s">
        <v>27</v>
      </c>
      <c r="E189" t="s">
        <v>15</v>
      </c>
      <c r="F189">
        <v>1</v>
      </c>
      <c r="G189">
        <v>500</v>
      </c>
      <c r="H189">
        <v>500</v>
      </c>
    </row>
    <row r="190" spans="1:8" x14ac:dyDescent="0.25">
      <c r="A190">
        <v>186</v>
      </c>
      <c r="B190" s="1">
        <v>46101</v>
      </c>
      <c r="C190" t="s">
        <v>21</v>
      </c>
      <c r="D190" t="s">
        <v>9</v>
      </c>
      <c r="E190" t="s">
        <v>28</v>
      </c>
      <c r="F190">
        <v>3</v>
      </c>
      <c r="G190">
        <v>500</v>
      </c>
      <c r="H190">
        <v>1500</v>
      </c>
    </row>
    <row r="191" spans="1:8" x14ac:dyDescent="0.25">
      <c r="A191">
        <v>187</v>
      </c>
      <c r="B191" s="1">
        <v>46102</v>
      </c>
      <c r="C191" t="s">
        <v>26</v>
      </c>
      <c r="D191" t="s">
        <v>27</v>
      </c>
      <c r="E191" t="s">
        <v>20</v>
      </c>
      <c r="F191">
        <v>1</v>
      </c>
      <c r="G191">
        <v>230</v>
      </c>
      <c r="H191">
        <v>230</v>
      </c>
    </row>
    <row r="192" spans="1:8" x14ac:dyDescent="0.25">
      <c r="A192">
        <v>188</v>
      </c>
      <c r="B192" s="1">
        <v>46103</v>
      </c>
      <c r="C192" t="s">
        <v>8</v>
      </c>
      <c r="D192" t="s">
        <v>9</v>
      </c>
      <c r="E192" t="s">
        <v>10</v>
      </c>
      <c r="F192">
        <v>10</v>
      </c>
      <c r="G192">
        <v>100</v>
      </c>
      <c r="H192">
        <v>1000</v>
      </c>
    </row>
    <row r="193" spans="1:8" x14ac:dyDescent="0.25">
      <c r="A193">
        <v>189</v>
      </c>
      <c r="B193" s="1">
        <v>46104</v>
      </c>
      <c r="C193" t="s">
        <v>8</v>
      </c>
      <c r="D193" t="s">
        <v>18</v>
      </c>
      <c r="E193" t="s">
        <v>15</v>
      </c>
      <c r="F193">
        <v>6</v>
      </c>
      <c r="G193">
        <v>120</v>
      </c>
      <c r="H193">
        <v>720</v>
      </c>
    </row>
    <row r="194" spans="1:8" x14ac:dyDescent="0.25">
      <c r="A194">
        <v>190</v>
      </c>
      <c r="B194" s="1">
        <v>46105</v>
      </c>
      <c r="C194" t="s">
        <v>14</v>
      </c>
      <c r="D194" t="s">
        <v>9</v>
      </c>
      <c r="E194" t="s">
        <v>22</v>
      </c>
      <c r="F194">
        <v>10</v>
      </c>
      <c r="G194">
        <v>230</v>
      </c>
      <c r="H194">
        <v>2300</v>
      </c>
    </row>
    <row r="195" spans="1:8" x14ac:dyDescent="0.25">
      <c r="A195">
        <v>191</v>
      </c>
      <c r="B195" s="1">
        <v>46106</v>
      </c>
      <c r="C195" t="s">
        <v>17</v>
      </c>
      <c r="D195" t="s">
        <v>18</v>
      </c>
      <c r="E195" t="s">
        <v>13</v>
      </c>
      <c r="F195">
        <v>5</v>
      </c>
      <c r="G195">
        <v>50</v>
      </c>
      <c r="H195">
        <v>250</v>
      </c>
    </row>
    <row r="196" spans="1:8" x14ac:dyDescent="0.25">
      <c r="A196">
        <v>192</v>
      </c>
      <c r="B196" s="1">
        <v>46107</v>
      </c>
      <c r="C196" t="s">
        <v>23</v>
      </c>
      <c r="D196" t="s">
        <v>12</v>
      </c>
      <c r="E196" t="s">
        <v>16</v>
      </c>
      <c r="F196">
        <v>7</v>
      </c>
      <c r="G196">
        <v>230</v>
      </c>
      <c r="H196">
        <v>1610</v>
      </c>
    </row>
    <row r="197" spans="1:8" x14ac:dyDescent="0.25">
      <c r="A197">
        <v>193</v>
      </c>
      <c r="B197" s="1">
        <v>46108</v>
      </c>
      <c r="C197" t="s">
        <v>24</v>
      </c>
      <c r="D197" t="s">
        <v>27</v>
      </c>
      <c r="E197" t="s">
        <v>10</v>
      </c>
      <c r="F197">
        <v>9</v>
      </c>
      <c r="G197">
        <v>100</v>
      </c>
      <c r="H197">
        <v>900</v>
      </c>
    </row>
    <row r="198" spans="1:8" x14ac:dyDescent="0.25">
      <c r="A198">
        <v>194</v>
      </c>
      <c r="B198" s="1">
        <v>46109</v>
      </c>
      <c r="C198" t="s">
        <v>11</v>
      </c>
      <c r="D198" t="s">
        <v>27</v>
      </c>
      <c r="E198" t="s">
        <v>28</v>
      </c>
      <c r="F198">
        <v>4</v>
      </c>
      <c r="G198">
        <v>8000</v>
      </c>
      <c r="H198">
        <v>32000</v>
      </c>
    </row>
    <row r="199" spans="1:8" x14ac:dyDescent="0.25">
      <c r="A199">
        <v>195</v>
      </c>
      <c r="B199" s="1">
        <v>46110</v>
      </c>
      <c r="C199" t="s">
        <v>21</v>
      </c>
      <c r="D199" t="s">
        <v>18</v>
      </c>
      <c r="E199" t="s">
        <v>22</v>
      </c>
      <c r="F199">
        <v>1</v>
      </c>
      <c r="G199">
        <v>230</v>
      </c>
      <c r="H199">
        <v>230</v>
      </c>
    </row>
    <row r="200" spans="1:8" x14ac:dyDescent="0.25">
      <c r="A200">
        <v>196</v>
      </c>
      <c r="B200" s="1">
        <v>46111</v>
      </c>
      <c r="C200" t="s">
        <v>17</v>
      </c>
      <c r="D200" t="s">
        <v>9</v>
      </c>
      <c r="E200" t="s">
        <v>28</v>
      </c>
      <c r="F200">
        <v>3</v>
      </c>
      <c r="G200">
        <v>120</v>
      </c>
      <c r="H200">
        <v>360</v>
      </c>
    </row>
    <row r="201" spans="1:8" x14ac:dyDescent="0.25">
      <c r="A201">
        <v>197</v>
      </c>
      <c r="B201" s="1">
        <v>46112</v>
      </c>
      <c r="C201" t="s">
        <v>8</v>
      </c>
      <c r="D201" t="s">
        <v>18</v>
      </c>
      <c r="E201" t="s">
        <v>10</v>
      </c>
      <c r="F201">
        <v>9</v>
      </c>
      <c r="G201">
        <v>230</v>
      </c>
      <c r="H201">
        <v>2070</v>
      </c>
    </row>
    <row r="202" spans="1:8" x14ac:dyDescent="0.25">
      <c r="A202">
        <v>198</v>
      </c>
      <c r="B202" s="1">
        <v>46113</v>
      </c>
      <c r="C202" t="s">
        <v>17</v>
      </c>
      <c r="D202" t="s">
        <v>12</v>
      </c>
      <c r="E202" t="s">
        <v>10</v>
      </c>
      <c r="F202">
        <v>9</v>
      </c>
      <c r="G202">
        <v>230</v>
      </c>
      <c r="H202">
        <v>2070</v>
      </c>
    </row>
    <row r="203" spans="1:8" x14ac:dyDescent="0.25">
      <c r="A203">
        <v>199</v>
      </c>
      <c r="B203" s="1">
        <v>46114</v>
      </c>
      <c r="C203" t="s">
        <v>11</v>
      </c>
      <c r="D203" t="s">
        <v>18</v>
      </c>
      <c r="E203" t="s">
        <v>10</v>
      </c>
      <c r="F203">
        <v>6</v>
      </c>
      <c r="G203">
        <v>50</v>
      </c>
      <c r="H203">
        <v>300</v>
      </c>
    </row>
    <row r="204" spans="1:8" x14ac:dyDescent="0.25">
      <c r="A204">
        <v>200</v>
      </c>
      <c r="B204" s="1">
        <v>46115</v>
      </c>
      <c r="C204" t="s">
        <v>11</v>
      </c>
      <c r="D204" t="s">
        <v>12</v>
      </c>
      <c r="E204" t="s">
        <v>13</v>
      </c>
      <c r="F204">
        <v>3</v>
      </c>
      <c r="G204">
        <v>600</v>
      </c>
      <c r="H204">
        <v>1800</v>
      </c>
    </row>
    <row r="205" spans="1:8" x14ac:dyDescent="0.25">
      <c r="A205">
        <v>201</v>
      </c>
      <c r="B205" s="1">
        <v>46116</v>
      </c>
      <c r="C205" t="s">
        <v>14</v>
      </c>
      <c r="D205" t="s">
        <v>12</v>
      </c>
      <c r="E205" t="s">
        <v>13</v>
      </c>
      <c r="F205">
        <v>3</v>
      </c>
      <c r="G205">
        <v>100</v>
      </c>
      <c r="H205">
        <v>300</v>
      </c>
    </row>
    <row r="206" spans="1:8" x14ac:dyDescent="0.25">
      <c r="A206">
        <v>202</v>
      </c>
      <c r="B206" s="1">
        <v>46117</v>
      </c>
      <c r="C206" t="s">
        <v>8</v>
      </c>
      <c r="D206" t="s">
        <v>18</v>
      </c>
      <c r="E206" t="s">
        <v>16</v>
      </c>
      <c r="F206">
        <v>8</v>
      </c>
      <c r="G206">
        <v>120</v>
      </c>
      <c r="H206">
        <v>960</v>
      </c>
    </row>
    <row r="207" spans="1:8" x14ac:dyDescent="0.25">
      <c r="A207">
        <v>203</v>
      </c>
      <c r="B207" s="1">
        <v>46118</v>
      </c>
      <c r="C207" t="s">
        <v>21</v>
      </c>
      <c r="D207" t="s">
        <v>18</v>
      </c>
      <c r="E207" t="s">
        <v>10</v>
      </c>
      <c r="F207">
        <v>9</v>
      </c>
      <c r="G207">
        <v>230</v>
      </c>
      <c r="H207">
        <v>2070</v>
      </c>
    </row>
    <row r="208" spans="1:8" x14ac:dyDescent="0.25">
      <c r="A208">
        <v>204</v>
      </c>
      <c r="B208" s="1">
        <v>46119</v>
      </c>
      <c r="C208" t="s">
        <v>23</v>
      </c>
      <c r="D208" t="s">
        <v>9</v>
      </c>
      <c r="E208" t="s">
        <v>10</v>
      </c>
      <c r="F208">
        <v>6</v>
      </c>
      <c r="G208">
        <v>8000</v>
      </c>
      <c r="H208">
        <v>48000</v>
      </c>
    </row>
    <row r="209" spans="1:8" x14ac:dyDescent="0.25">
      <c r="A209">
        <v>205</v>
      </c>
      <c r="B209" s="1">
        <v>46120</v>
      </c>
      <c r="C209" t="s">
        <v>24</v>
      </c>
      <c r="D209" t="s">
        <v>12</v>
      </c>
      <c r="E209" t="s">
        <v>16</v>
      </c>
      <c r="F209">
        <v>2</v>
      </c>
      <c r="G209">
        <v>100</v>
      </c>
      <c r="H209">
        <v>200</v>
      </c>
    </row>
    <row r="210" spans="1:8" x14ac:dyDescent="0.25">
      <c r="A210">
        <v>206</v>
      </c>
      <c r="B210" s="1">
        <v>46121</v>
      </c>
      <c r="C210" t="s">
        <v>24</v>
      </c>
      <c r="D210" t="s">
        <v>18</v>
      </c>
      <c r="E210" t="s">
        <v>15</v>
      </c>
      <c r="F210">
        <v>7</v>
      </c>
      <c r="G210">
        <v>120</v>
      </c>
      <c r="H210">
        <v>840</v>
      </c>
    </row>
    <row r="211" spans="1:8" x14ac:dyDescent="0.25">
      <c r="A211">
        <v>207</v>
      </c>
      <c r="B211" s="1">
        <v>46122</v>
      </c>
      <c r="C211" t="s">
        <v>17</v>
      </c>
      <c r="D211" t="s">
        <v>9</v>
      </c>
      <c r="E211" t="s">
        <v>22</v>
      </c>
      <c r="F211">
        <v>4</v>
      </c>
      <c r="G211">
        <v>50</v>
      </c>
      <c r="H211">
        <v>200</v>
      </c>
    </row>
    <row r="212" spans="1:8" x14ac:dyDescent="0.25">
      <c r="A212">
        <v>208</v>
      </c>
      <c r="B212" s="1">
        <v>46123</v>
      </c>
      <c r="C212" t="s">
        <v>24</v>
      </c>
      <c r="D212" t="s">
        <v>18</v>
      </c>
      <c r="E212" t="s">
        <v>20</v>
      </c>
      <c r="F212">
        <v>4</v>
      </c>
      <c r="G212">
        <v>8000</v>
      </c>
      <c r="H212">
        <v>32000</v>
      </c>
    </row>
    <row r="213" spans="1:8" x14ac:dyDescent="0.25">
      <c r="A213">
        <v>209</v>
      </c>
      <c r="B213" s="1">
        <v>46124</v>
      </c>
      <c r="C213" t="s">
        <v>24</v>
      </c>
      <c r="D213" t="s">
        <v>12</v>
      </c>
      <c r="E213" t="s">
        <v>16</v>
      </c>
      <c r="F213">
        <v>2</v>
      </c>
      <c r="G213">
        <v>120</v>
      </c>
      <c r="H213">
        <v>240</v>
      </c>
    </row>
    <row r="214" spans="1:8" x14ac:dyDescent="0.25">
      <c r="A214">
        <v>210</v>
      </c>
      <c r="B214" s="1">
        <v>46125</v>
      </c>
      <c r="C214" t="s">
        <v>8</v>
      </c>
      <c r="D214" t="s">
        <v>12</v>
      </c>
      <c r="E214" t="s">
        <v>16</v>
      </c>
      <c r="F214">
        <v>6</v>
      </c>
      <c r="G214">
        <v>600</v>
      </c>
      <c r="H214">
        <v>3600</v>
      </c>
    </row>
    <row r="215" spans="1:8" x14ac:dyDescent="0.25">
      <c r="A215">
        <v>211</v>
      </c>
      <c r="B215" s="1">
        <v>46126</v>
      </c>
      <c r="C215" t="s">
        <v>25</v>
      </c>
      <c r="D215" t="s">
        <v>9</v>
      </c>
      <c r="E215" t="s">
        <v>16</v>
      </c>
      <c r="F215">
        <v>3</v>
      </c>
      <c r="G215">
        <v>120</v>
      </c>
      <c r="H215">
        <v>360</v>
      </c>
    </row>
    <row r="216" spans="1:8" x14ac:dyDescent="0.25">
      <c r="A216">
        <v>212</v>
      </c>
      <c r="B216" s="1">
        <v>46127</v>
      </c>
      <c r="C216" t="s">
        <v>14</v>
      </c>
      <c r="D216" t="s">
        <v>27</v>
      </c>
      <c r="E216" t="s">
        <v>10</v>
      </c>
      <c r="F216">
        <v>1</v>
      </c>
      <c r="G216">
        <v>8000</v>
      </c>
      <c r="H216">
        <v>8000</v>
      </c>
    </row>
    <row r="217" spans="1:8" x14ac:dyDescent="0.25">
      <c r="A217">
        <v>213</v>
      </c>
      <c r="B217" s="1">
        <v>46128</v>
      </c>
      <c r="C217" t="s">
        <v>26</v>
      </c>
      <c r="D217" t="s">
        <v>9</v>
      </c>
      <c r="E217" t="s">
        <v>16</v>
      </c>
      <c r="F217">
        <v>10</v>
      </c>
      <c r="G217">
        <v>50</v>
      </c>
      <c r="H217">
        <v>500</v>
      </c>
    </row>
    <row r="218" spans="1:8" x14ac:dyDescent="0.25">
      <c r="A218">
        <v>214</v>
      </c>
      <c r="B218" s="1">
        <v>46129</v>
      </c>
      <c r="C218" t="s">
        <v>14</v>
      </c>
      <c r="D218" t="s">
        <v>12</v>
      </c>
      <c r="E218" t="s">
        <v>10</v>
      </c>
      <c r="F218">
        <v>2</v>
      </c>
      <c r="G218">
        <v>120</v>
      </c>
      <c r="H218">
        <v>240</v>
      </c>
    </row>
    <row r="219" spans="1:8" x14ac:dyDescent="0.25">
      <c r="A219">
        <v>215</v>
      </c>
      <c r="B219" s="1">
        <v>46130</v>
      </c>
      <c r="C219" t="s">
        <v>26</v>
      </c>
      <c r="D219" t="s">
        <v>18</v>
      </c>
      <c r="E219" t="s">
        <v>22</v>
      </c>
      <c r="F219">
        <v>8</v>
      </c>
      <c r="G219">
        <v>100</v>
      </c>
      <c r="H219">
        <v>800</v>
      </c>
    </row>
    <row r="220" spans="1:8" x14ac:dyDescent="0.25">
      <c r="A220">
        <v>216</v>
      </c>
      <c r="B220" s="1">
        <v>46131</v>
      </c>
      <c r="C220" t="s">
        <v>24</v>
      </c>
      <c r="D220" t="s">
        <v>9</v>
      </c>
      <c r="E220" t="s">
        <v>10</v>
      </c>
      <c r="F220">
        <v>10</v>
      </c>
      <c r="G220">
        <v>50</v>
      </c>
      <c r="H220">
        <v>500</v>
      </c>
    </row>
    <row r="221" spans="1:8" x14ac:dyDescent="0.25">
      <c r="A221">
        <v>217</v>
      </c>
      <c r="B221" s="1">
        <v>46132</v>
      </c>
      <c r="C221" t="s">
        <v>14</v>
      </c>
      <c r="D221" t="s">
        <v>12</v>
      </c>
      <c r="E221" t="s">
        <v>13</v>
      </c>
      <c r="F221">
        <v>3</v>
      </c>
      <c r="G221">
        <v>50</v>
      </c>
      <c r="H221">
        <v>150</v>
      </c>
    </row>
    <row r="222" spans="1:8" x14ac:dyDescent="0.25">
      <c r="A222">
        <v>218</v>
      </c>
      <c r="B222" s="1">
        <v>46133</v>
      </c>
      <c r="C222" t="s">
        <v>21</v>
      </c>
      <c r="D222" t="s">
        <v>27</v>
      </c>
      <c r="E222" t="s">
        <v>28</v>
      </c>
      <c r="F222">
        <v>10</v>
      </c>
      <c r="G222">
        <v>8000</v>
      </c>
      <c r="H222">
        <v>80000</v>
      </c>
    </row>
    <row r="223" spans="1:8" x14ac:dyDescent="0.25">
      <c r="A223">
        <v>219</v>
      </c>
      <c r="B223" s="1">
        <v>46134</v>
      </c>
      <c r="C223" t="s">
        <v>8</v>
      </c>
      <c r="D223" t="s">
        <v>27</v>
      </c>
      <c r="E223" t="s">
        <v>20</v>
      </c>
      <c r="F223">
        <v>5</v>
      </c>
      <c r="G223">
        <v>500</v>
      </c>
      <c r="H223">
        <v>2500</v>
      </c>
    </row>
    <row r="224" spans="1:8" x14ac:dyDescent="0.25">
      <c r="A224">
        <v>220</v>
      </c>
      <c r="B224" s="1">
        <v>46135</v>
      </c>
      <c r="C224" t="s">
        <v>21</v>
      </c>
      <c r="D224" t="s">
        <v>27</v>
      </c>
      <c r="E224" t="s">
        <v>20</v>
      </c>
      <c r="F224">
        <v>6</v>
      </c>
      <c r="G224">
        <v>50</v>
      </c>
      <c r="H224">
        <v>300</v>
      </c>
    </row>
    <row r="225" spans="1:8" x14ac:dyDescent="0.25">
      <c r="A225">
        <v>221</v>
      </c>
      <c r="B225" s="1">
        <v>46136</v>
      </c>
      <c r="C225" t="s">
        <v>21</v>
      </c>
      <c r="D225" t="s">
        <v>18</v>
      </c>
      <c r="E225" t="s">
        <v>13</v>
      </c>
      <c r="F225">
        <v>2</v>
      </c>
      <c r="G225">
        <v>600</v>
      </c>
      <c r="H225">
        <v>1200</v>
      </c>
    </row>
    <row r="226" spans="1:8" x14ac:dyDescent="0.25">
      <c r="A226">
        <v>222</v>
      </c>
      <c r="B226" s="1">
        <v>46137</v>
      </c>
      <c r="C226" t="s">
        <v>8</v>
      </c>
      <c r="D226" t="s">
        <v>27</v>
      </c>
      <c r="E226" t="s">
        <v>28</v>
      </c>
      <c r="F226">
        <v>10</v>
      </c>
      <c r="G226">
        <v>100</v>
      </c>
      <c r="H226">
        <v>1000</v>
      </c>
    </row>
    <row r="227" spans="1:8" x14ac:dyDescent="0.25">
      <c r="A227">
        <v>223</v>
      </c>
      <c r="B227" s="1">
        <v>46138</v>
      </c>
      <c r="C227" t="s">
        <v>19</v>
      </c>
      <c r="D227" t="s">
        <v>27</v>
      </c>
      <c r="E227" t="s">
        <v>16</v>
      </c>
      <c r="F227">
        <v>8</v>
      </c>
      <c r="G227">
        <v>600</v>
      </c>
      <c r="H227">
        <v>4800</v>
      </c>
    </row>
    <row r="228" spans="1:8" x14ac:dyDescent="0.25">
      <c r="A228">
        <v>224</v>
      </c>
      <c r="B228" s="1">
        <v>46139</v>
      </c>
      <c r="C228" t="s">
        <v>19</v>
      </c>
      <c r="D228" t="s">
        <v>27</v>
      </c>
      <c r="E228" t="s">
        <v>10</v>
      </c>
      <c r="F228">
        <v>5</v>
      </c>
      <c r="G228">
        <v>500</v>
      </c>
      <c r="H228">
        <v>2500</v>
      </c>
    </row>
    <row r="229" spans="1:8" x14ac:dyDescent="0.25">
      <c r="A229">
        <v>225</v>
      </c>
      <c r="B229" s="1">
        <v>46140</v>
      </c>
      <c r="C229" t="s">
        <v>14</v>
      </c>
      <c r="D229" t="s">
        <v>18</v>
      </c>
      <c r="E229" t="s">
        <v>28</v>
      </c>
      <c r="F229">
        <v>9</v>
      </c>
      <c r="G229">
        <v>230</v>
      </c>
      <c r="H229">
        <v>2070</v>
      </c>
    </row>
    <row r="230" spans="1:8" x14ac:dyDescent="0.25">
      <c r="A230">
        <v>226</v>
      </c>
      <c r="B230" s="1">
        <v>46141</v>
      </c>
      <c r="C230" t="s">
        <v>26</v>
      </c>
      <c r="D230" t="s">
        <v>12</v>
      </c>
      <c r="E230" t="s">
        <v>28</v>
      </c>
      <c r="F230">
        <v>10</v>
      </c>
      <c r="G230">
        <v>50</v>
      </c>
      <c r="H230">
        <v>500</v>
      </c>
    </row>
    <row r="231" spans="1:8" x14ac:dyDescent="0.25">
      <c r="A231">
        <v>227</v>
      </c>
      <c r="B231" s="1">
        <v>46142</v>
      </c>
      <c r="C231" t="s">
        <v>23</v>
      </c>
      <c r="D231" t="s">
        <v>27</v>
      </c>
      <c r="E231" t="s">
        <v>10</v>
      </c>
      <c r="F231">
        <v>7</v>
      </c>
      <c r="G231">
        <v>500</v>
      </c>
      <c r="H231">
        <v>3500</v>
      </c>
    </row>
    <row r="232" spans="1:8" x14ac:dyDescent="0.25">
      <c r="A232">
        <v>228</v>
      </c>
      <c r="B232" s="1">
        <v>46143</v>
      </c>
      <c r="C232" t="s">
        <v>11</v>
      </c>
      <c r="D232" t="s">
        <v>27</v>
      </c>
      <c r="E232" t="s">
        <v>10</v>
      </c>
      <c r="F232">
        <v>7</v>
      </c>
      <c r="G232">
        <v>500</v>
      </c>
      <c r="H232">
        <v>3500</v>
      </c>
    </row>
    <row r="233" spans="1:8" x14ac:dyDescent="0.25">
      <c r="A233">
        <v>229</v>
      </c>
      <c r="B233" s="1">
        <v>46144</v>
      </c>
      <c r="C233" t="s">
        <v>8</v>
      </c>
      <c r="D233" t="s">
        <v>9</v>
      </c>
      <c r="E233" t="s">
        <v>20</v>
      </c>
      <c r="F233">
        <v>2</v>
      </c>
      <c r="G233">
        <v>100</v>
      </c>
      <c r="H233">
        <v>200</v>
      </c>
    </row>
    <row r="234" spans="1:8" x14ac:dyDescent="0.25">
      <c r="A234">
        <v>230</v>
      </c>
      <c r="B234" s="1">
        <v>46145</v>
      </c>
      <c r="C234" t="s">
        <v>14</v>
      </c>
      <c r="D234" t="s">
        <v>12</v>
      </c>
      <c r="E234" t="s">
        <v>13</v>
      </c>
      <c r="F234">
        <v>2</v>
      </c>
      <c r="G234">
        <v>8000</v>
      </c>
      <c r="H234">
        <v>16000</v>
      </c>
    </row>
    <row r="235" spans="1:8" x14ac:dyDescent="0.25">
      <c r="A235">
        <v>231</v>
      </c>
      <c r="B235" s="1">
        <v>46146</v>
      </c>
      <c r="C235" t="s">
        <v>24</v>
      </c>
      <c r="D235" t="s">
        <v>27</v>
      </c>
      <c r="E235" t="s">
        <v>10</v>
      </c>
      <c r="F235">
        <v>7</v>
      </c>
      <c r="G235">
        <v>100</v>
      </c>
      <c r="H235">
        <v>700</v>
      </c>
    </row>
    <row r="236" spans="1:8" x14ac:dyDescent="0.25">
      <c r="A236">
        <v>232</v>
      </c>
      <c r="B236" s="1">
        <v>46147</v>
      </c>
      <c r="C236" t="s">
        <v>19</v>
      </c>
      <c r="D236" t="s">
        <v>27</v>
      </c>
      <c r="E236" t="s">
        <v>22</v>
      </c>
      <c r="F236">
        <v>8</v>
      </c>
      <c r="G236">
        <v>8000</v>
      </c>
      <c r="H236">
        <v>64000</v>
      </c>
    </row>
    <row r="237" spans="1:8" x14ac:dyDescent="0.25">
      <c r="A237">
        <v>233</v>
      </c>
      <c r="B237" s="1">
        <v>46148</v>
      </c>
      <c r="C237" t="s">
        <v>25</v>
      </c>
      <c r="D237" t="s">
        <v>18</v>
      </c>
      <c r="E237" t="s">
        <v>16</v>
      </c>
      <c r="F237">
        <v>8</v>
      </c>
      <c r="G237">
        <v>8000</v>
      </c>
      <c r="H237">
        <v>64000</v>
      </c>
    </row>
    <row r="238" spans="1:8" x14ac:dyDescent="0.25">
      <c r="A238">
        <v>234</v>
      </c>
      <c r="B238" s="1">
        <v>46149</v>
      </c>
      <c r="C238" t="s">
        <v>14</v>
      </c>
      <c r="D238" t="s">
        <v>27</v>
      </c>
      <c r="E238" t="s">
        <v>13</v>
      </c>
      <c r="F238">
        <v>8</v>
      </c>
      <c r="G238">
        <v>230</v>
      </c>
      <c r="H238">
        <v>1840</v>
      </c>
    </row>
    <row r="239" spans="1:8" x14ac:dyDescent="0.25">
      <c r="A239">
        <v>235</v>
      </c>
      <c r="B239" s="1">
        <v>46150</v>
      </c>
      <c r="C239" t="s">
        <v>11</v>
      </c>
      <c r="D239" t="s">
        <v>18</v>
      </c>
      <c r="E239" t="s">
        <v>16</v>
      </c>
      <c r="F239">
        <v>10</v>
      </c>
      <c r="G239">
        <v>120</v>
      </c>
      <c r="H239">
        <v>1200</v>
      </c>
    </row>
    <row r="240" spans="1:8" x14ac:dyDescent="0.25">
      <c r="A240">
        <v>236</v>
      </c>
      <c r="B240" s="1">
        <v>46151</v>
      </c>
      <c r="C240" t="s">
        <v>17</v>
      </c>
      <c r="D240" t="s">
        <v>12</v>
      </c>
      <c r="E240" t="s">
        <v>20</v>
      </c>
      <c r="F240">
        <v>4</v>
      </c>
      <c r="G240">
        <v>500</v>
      </c>
      <c r="H240">
        <v>2000</v>
      </c>
    </row>
    <row r="241" spans="1:8" x14ac:dyDescent="0.25">
      <c r="A241">
        <v>237</v>
      </c>
      <c r="B241" s="1">
        <v>46152</v>
      </c>
      <c r="C241" t="s">
        <v>8</v>
      </c>
      <c r="D241" t="s">
        <v>27</v>
      </c>
      <c r="E241" t="s">
        <v>20</v>
      </c>
      <c r="F241">
        <v>7</v>
      </c>
      <c r="G241">
        <v>600</v>
      </c>
      <c r="H241">
        <v>4200</v>
      </c>
    </row>
    <row r="242" spans="1:8" x14ac:dyDescent="0.25">
      <c r="A242">
        <v>238</v>
      </c>
      <c r="B242" s="1">
        <v>46153</v>
      </c>
      <c r="C242" t="s">
        <v>26</v>
      </c>
      <c r="D242" t="s">
        <v>27</v>
      </c>
      <c r="E242" t="s">
        <v>13</v>
      </c>
      <c r="F242">
        <v>2</v>
      </c>
      <c r="G242">
        <v>230</v>
      </c>
      <c r="H242">
        <v>460</v>
      </c>
    </row>
    <row r="243" spans="1:8" x14ac:dyDescent="0.25">
      <c r="A243">
        <v>239</v>
      </c>
      <c r="B243" s="1">
        <v>46154</v>
      </c>
      <c r="C243" t="s">
        <v>21</v>
      </c>
      <c r="D243" t="s">
        <v>12</v>
      </c>
      <c r="E243" t="s">
        <v>20</v>
      </c>
      <c r="F243">
        <v>6</v>
      </c>
      <c r="G243">
        <v>230</v>
      </c>
      <c r="H243">
        <v>1380</v>
      </c>
    </row>
    <row r="244" spans="1:8" x14ac:dyDescent="0.25">
      <c r="A244">
        <v>240</v>
      </c>
      <c r="B244" s="1">
        <v>46155</v>
      </c>
      <c r="C244" t="s">
        <v>11</v>
      </c>
      <c r="D244" t="s">
        <v>27</v>
      </c>
      <c r="E244" t="s">
        <v>15</v>
      </c>
      <c r="F244">
        <v>8</v>
      </c>
      <c r="G244">
        <v>500</v>
      </c>
      <c r="H244">
        <v>4000</v>
      </c>
    </row>
    <row r="245" spans="1:8" x14ac:dyDescent="0.25">
      <c r="A245">
        <v>241</v>
      </c>
      <c r="B245" s="1">
        <v>46156</v>
      </c>
      <c r="C245" t="s">
        <v>8</v>
      </c>
      <c r="D245" t="s">
        <v>12</v>
      </c>
      <c r="E245" t="s">
        <v>13</v>
      </c>
      <c r="F245">
        <v>4</v>
      </c>
      <c r="G245">
        <v>230</v>
      </c>
      <c r="H245">
        <v>920</v>
      </c>
    </row>
    <row r="246" spans="1:8" x14ac:dyDescent="0.25">
      <c r="A246">
        <v>242</v>
      </c>
      <c r="B246" s="1">
        <v>46157</v>
      </c>
      <c r="C246" t="s">
        <v>26</v>
      </c>
      <c r="D246" t="s">
        <v>12</v>
      </c>
      <c r="E246" t="s">
        <v>10</v>
      </c>
      <c r="F246">
        <v>5</v>
      </c>
      <c r="G246">
        <v>230</v>
      </c>
      <c r="H246">
        <v>1150</v>
      </c>
    </row>
    <row r="247" spans="1:8" x14ac:dyDescent="0.25">
      <c r="A247">
        <v>243</v>
      </c>
      <c r="B247" s="1">
        <v>46158</v>
      </c>
      <c r="C247" t="s">
        <v>25</v>
      </c>
      <c r="D247" t="s">
        <v>27</v>
      </c>
      <c r="E247" t="s">
        <v>13</v>
      </c>
      <c r="F247">
        <v>1</v>
      </c>
      <c r="G247">
        <v>600</v>
      </c>
      <c r="H247">
        <v>600</v>
      </c>
    </row>
    <row r="248" spans="1:8" x14ac:dyDescent="0.25">
      <c r="A248">
        <v>244</v>
      </c>
      <c r="B248" s="1">
        <v>46159</v>
      </c>
      <c r="C248" t="s">
        <v>24</v>
      </c>
      <c r="D248" t="s">
        <v>9</v>
      </c>
      <c r="E248" t="s">
        <v>28</v>
      </c>
      <c r="F248">
        <v>7</v>
      </c>
      <c r="G248">
        <v>600</v>
      </c>
      <c r="H248">
        <v>4200</v>
      </c>
    </row>
    <row r="249" spans="1:8" x14ac:dyDescent="0.25">
      <c r="A249">
        <v>245</v>
      </c>
      <c r="B249" s="1">
        <v>46160</v>
      </c>
      <c r="C249" t="s">
        <v>26</v>
      </c>
      <c r="D249" t="s">
        <v>18</v>
      </c>
      <c r="E249" t="s">
        <v>13</v>
      </c>
      <c r="F249">
        <v>10</v>
      </c>
      <c r="G249">
        <v>50</v>
      </c>
      <c r="H249">
        <v>500</v>
      </c>
    </row>
    <row r="250" spans="1:8" x14ac:dyDescent="0.25">
      <c r="A250">
        <v>246</v>
      </c>
      <c r="B250" s="1">
        <v>46161</v>
      </c>
      <c r="C250" t="s">
        <v>26</v>
      </c>
      <c r="D250" t="s">
        <v>12</v>
      </c>
      <c r="E250" t="s">
        <v>22</v>
      </c>
      <c r="F250">
        <v>6</v>
      </c>
      <c r="G250">
        <v>8000</v>
      </c>
      <c r="H250">
        <v>48000</v>
      </c>
    </row>
    <row r="251" spans="1:8" x14ac:dyDescent="0.25">
      <c r="A251">
        <v>247</v>
      </c>
      <c r="B251" s="1">
        <v>46162</v>
      </c>
      <c r="C251" t="s">
        <v>8</v>
      </c>
      <c r="D251" t="s">
        <v>27</v>
      </c>
      <c r="E251" t="s">
        <v>28</v>
      </c>
      <c r="F251">
        <v>3</v>
      </c>
      <c r="G251">
        <v>100</v>
      </c>
      <c r="H251">
        <v>300</v>
      </c>
    </row>
    <row r="252" spans="1:8" x14ac:dyDescent="0.25">
      <c r="A252">
        <v>248</v>
      </c>
      <c r="B252" s="1">
        <v>46163</v>
      </c>
      <c r="C252" t="s">
        <v>11</v>
      </c>
      <c r="D252" t="s">
        <v>18</v>
      </c>
      <c r="E252" t="s">
        <v>28</v>
      </c>
      <c r="F252">
        <v>8</v>
      </c>
      <c r="G252">
        <v>100</v>
      </c>
      <c r="H252">
        <v>800</v>
      </c>
    </row>
    <row r="253" spans="1:8" x14ac:dyDescent="0.25">
      <c r="A253">
        <v>249</v>
      </c>
      <c r="B253" s="1">
        <v>46164</v>
      </c>
      <c r="C253" t="s">
        <v>25</v>
      </c>
      <c r="D253" t="s">
        <v>18</v>
      </c>
      <c r="E253" t="s">
        <v>22</v>
      </c>
      <c r="F253">
        <v>9</v>
      </c>
      <c r="G253">
        <v>120</v>
      </c>
      <c r="H253">
        <v>1080</v>
      </c>
    </row>
    <row r="254" spans="1:8" x14ac:dyDescent="0.25">
      <c r="A254">
        <v>250</v>
      </c>
      <c r="B254" s="1">
        <v>46165</v>
      </c>
      <c r="C254" t="s">
        <v>17</v>
      </c>
      <c r="D254" t="s">
        <v>27</v>
      </c>
      <c r="E254" t="s">
        <v>13</v>
      </c>
      <c r="F254">
        <v>8</v>
      </c>
      <c r="G254">
        <v>50</v>
      </c>
      <c r="H254">
        <v>400</v>
      </c>
    </row>
    <row r="255" spans="1:8" x14ac:dyDescent="0.25">
      <c r="A255">
        <v>251</v>
      </c>
      <c r="B255" s="1">
        <v>46166</v>
      </c>
      <c r="C255" t="s">
        <v>25</v>
      </c>
      <c r="D255" t="s">
        <v>12</v>
      </c>
      <c r="E255" t="s">
        <v>13</v>
      </c>
      <c r="F255">
        <v>3</v>
      </c>
      <c r="G255">
        <v>8000</v>
      </c>
      <c r="H255">
        <v>24000</v>
      </c>
    </row>
    <row r="256" spans="1:8" x14ac:dyDescent="0.25">
      <c r="A256">
        <v>252</v>
      </c>
      <c r="B256" s="1">
        <v>46167</v>
      </c>
      <c r="C256" t="s">
        <v>24</v>
      </c>
      <c r="D256" t="s">
        <v>27</v>
      </c>
      <c r="E256" t="s">
        <v>13</v>
      </c>
      <c r="F256">
        <v>8</v>
      </c>
      <c r="G256">
        <v>100</v>
      </c>
      <c r="H256">
        <v>800</v>
      </c>
    </row>
    <row r="257" spans="1:8" x14ac:dyDescent="0.25">
      <c r="A257">
        <v>253</v>
      </c>
      <c r="B257" s="1">
        <v>46168</v>
      </c>
      <c r="C257" t="s">
        <v>14</v>
      </c>
      <c r="D257" t="s">
        <v>27</v>
      </c>
      <c r="E257" t="s">
        <v>22</v>
      </c>
      <c r="F257">
        <v>3</v>
      </c>
      <c r="G257">
        <v>8000</v>
      </c>
      <c r="H257">
        <v>24000</v>
      </c>
    </row>
    <row r="258" spans="1:8" x14ac:dyDescent="0.25">
      <c r="A258">
        <v>254</v>
      </c>
      <c r="B258" s="1">
        <v>46169</v>
      </c>
      <c r="C258" t="s">
        <v>19</v>
      </c>
      <c r="D258" t="s">
        <v>12</v>
      </c>
      <c r="E258" t="s">
        <v>20</v>
      </c>
      <c r="F258">
        <v>5</v>
      </c>
      <c r="G258">
        <v>600</v>
      </c>
      <c r="H258">
        <v>3000</v>
      </c>
    </row>
    <row r="259" spans="1:8" x14ac:dyDescent="0.25">
      <c r="A259">
        <v>255</v>
      </c>
      <c r="B259" s="1">
        <v>46170</v>
      </c>
      <c r="C259" t="s">
        <v>25</v>
      </c>
      <c r="D259" t="s">
        <v>18</v>
      </c>
      <c r="E259" t="s">
        <v>15</v>
      </c>
      <c r="F259">
        <v>1</v>
      </c>
      <c r="G259">
        <v>600</v>
      </c>
      <c r="H259">
        <v>600</v>
      </c>
    </row>
    <row r="260" spans="1:8" x14ac:dyDescent="0.25">
      <c r="A260">
        <v>256</v>
      </c>
      <c r="B260" s="1">
        <v>46171</v>
      </c>
      <c r="C260" t="s">
        <v>21</v>
      </c>
      <c r="D260" t="s">
        <v>27</v>
      </c>
      <c r="E260" t="s">
        <v>15</v>
      </c>
      <c r="F260">
        <v>7</v>
      </c>
      <c r="G260">
        <v>230</v>
      </c>
      <c r="H260">
        <v>1610</v>
      </c>
    </row>
    <row r="261" spans="1:8" x14ac:dyDescent="0.25">
      <c r="A261">
        <v>257</v>
      </c>
      <c r="B261" s="1">
        <v>46172</v>
      </c>
      <c r="C261" t="s">
        <v>8</v>
      </c>
      <c r="D261" t="s">
        <v>9</v>
      </c>
      <c r="E261" t="s">
        <v>28</v>
      </c>
      <c r="F261">
        <v>8</v>
      </c>
      <c r="G261">
        <v>100</v>
      </c>
      <c r="H261">
        <v>800</v>
      </c>
    </row>
    <row r="262" spans="1:8" x14ac:dyDescent="0.25">
      <c r="A262">
        <v>258</v>
      </c>
      <c r="B262" s="1">
        <v>46173</v>
      </c>
      <c r="C262" t="s">
        <v>26</v>
      </c>
      <c r="D262" t="s">
        <v>27</v>
      </c>
      <c r="E262" t="s">
        <v>22</v>
      </c>
      <c r="F262">
        <v>5</v>
      </c>
      <c r="G262">
        <v>50</v>
      </c>
      <c r="H262">
        <v>250</v>
      </c>
    </row>
    <row r="263" spans="1:8" x14ac:dyDescent="0.25">
      <c r="A263">
        <v>259</v>
      </c>
      <c r="B263" s="1">
        <v>46174</v>
      </c>
      <c r="C263" t="s">
        <v>14</v>
      </c>
      <c r="D263" t="s">
        <v>18</v>
      </c>
      <c r="E263" t="s">
        <v>15</v>
      </c>
      <c r="F263">
        <v>6</v>
      </c>
      <c r="G263">
        <v>120</v>
      </c>
      <c r="H263">
        <v>720</v>
      </c>
    </row>
    <row r="264" spans="1:8" x14ac:dyDescent="0.25">
      <c r="A264">
        <v>260</v>
      </c>
      <c r="B264" s="1">
        <v>46175</v>
      </c>
      <c r="C264" t="s">
        <v>26</v>
      </c>
      <c r="D264" t="s">
        <v>12</v>
      </c>
      <c r="E264" t="s">
        <v>22</v>
      </c>
      <c r="F264">
        <v>3</v>
      </c>
      <c r="G264">
        <v>8000</v>
      </c>
      <c r="H264">
        <v>24000</v>
      </c>
    </row>
    <row r="265" spans="1:8" x14ac:dyDescent="0.25">
      <c r="A265">
        <v>261</v>
      </c>
      <c r="B265" s="1">
        <v>46176</v>
      </c>
      <c r="C265" t="s">
        <v>14</v>
      </c>
      <c r="D265" t="s">
        <v>9</v>
      </c>
      <c r="E265" t="s">
        <v>10</v>
      </c>
      <c r="F265">
        <v>3</v>
      </c>
      <c r="G265">
        <v>120</v>
      </c>
      <c r="H265">
        <v>360</v>
      </c>
    </row>
    <row r="266" spans="1:8" x14ac:dyDescent="0.25">
      <c r="A266">
        <v>262</v>
      </c>
      <c r="B266" s="1">
        <v>46177</v>
      </c>
      <c r="C266" t="s">
        <v>11</v>
      </c>
      <c r="D266" t="s">
        <v>12</v>
      </c>
      <c r="E266" t="s">
        <v>28</v>
      </c>
      <c r="F266">
        <v>3</v>
      </c>
      <c r="G266">
        <v>120</v>
      </c>
      <c r="H266">
        <v>360</v>
      </c>
    </row>
    <row r="267" spans="1:8" x14ac:dyDescent="0.25">
      <c r="A267">
        <v>263</v>
      </c>
      <c r="B267" s="1">
        <v>46178</v>
      </c>
      <c r="C267" t="s">
        <v>17</v>
      </c>
      <c r="D267" t="s">
        <v>12</v>
      </c>
      <c r="E267" t="s">
        <v>22</v>
      </c>
      <c r="F267">
        <v>6</v>
      </c>
      <c r="G267">
        <v>100</v>
      </c>
      <c r="H267">
        <v>600</v>
      </c>
    </row>
    <row r="268" spans="1:8" x14ac:dyDescent="0.25">
      <c r="A268">
        <v>264</v>
      </c>
      <c r="B268" s="1">
        <v>46179</v>
      </c>
      <c r="C268" t="s">
        <v>26</v>
      </c>
      <c r="D268" t="s">
        <v>27</v>
      </c>
      <c r="E268" t="s">
        <v>16</v>
      </c>
      <c r="F268">
        <v>2</v>
      </c>
      <c r="G268">
        <v>120</v>
      </c>
      <c r="H268">
        <v>240</v>
      </c>
    </row>
    <row r="269" spans="1:8" x14ac:dyDescent="0.25">
      <c r="A269">
        <v>265</v>
      </c>
      <c r="B269" s="1">
        <v>46180</v>
      </c>
      <c r="C269" t="s">
        <v>11</v>
      </c>
      <c r="D269" t="s">
        <v>27</v>
      </c>
      <c r="E269" t="s">
        <v>13</v>
      </c>
      <c r="F269">
        <v>2</v>
      </c>
      <c r="G269">
        <v>230</v>
      </c>
      <c r="H269">
        <v>460</v>
      </c>
    </row>
    <row r="270" spans="1:8" x14ac:dyDescent="0.25">
      <c r="A270">
        <v>266</v>
      </c>
      <c r="B270" s="1">
        <v>46181</v>
      </c>
      <c r="C270" t="s">
        <v>14</v>
      </c>
      <c r="D270" t="s">
        <v>27</v>
      </c>
      <c r="E270" t="s">
        <v>22</v>
      </c>
      <c r="F270">
        <v>6</v>
      </c>
      <c r="G270">
        <v>600</v>
      </c>
      <c r="H270">
        <v>3600</v>
      </c>
    </row>
    <row r="271" spans="1:8" x14ac:dyDescent="0.25">
      <c r="A271">
        <v>267</v>
      </c>
      <c r="B271" s="1">
        <v>46182</v>
      </c>
      <c r="C271" t="s">
        <v>17</v>
      </c>
      <c r="D271" t="s">
        <v>9</v>
      </c>
      <c r="E271" t="s">
        <v>16</v>
      </c>
      <c r="F271">
        <v>7</v>
      </c>
      <c r="G271">
        <v>500</v>
      </c>
      <c r="H271">
        <v>3500</v>
      </c>
    </row>
    <row r="272" spans="1:8" x14ac:dyDescent="0.25">
      <c r="A272">
        <v>268</v>
      </c>
      <c r="B272" s="1">
        <v>46183</v>
      </c>
      <c r="C272" t="s">
        <v>17</v>
      </c>
      <c r="D272" t="s">
        <v>18</v>
      </c>
      <c r="E272" t="s">
        <v>10</v>
      </c>
      <c r="F272">
        <v>7</v>
      </c>
      <c r="G272">
        <v>600</v>
      </c>
      <c r="H272">
        <v>4200</v>
      </c>
    </row>
    <row r="273" spans="1:8" x14ac:dyDescent="0.25">
      <c r="A273">
        <v>269</v>
      </c>
      <c r="B273" s="1">
        <v>46184</v>
      </c>
      <c r="C273" t="s">
        <v>25</v>
      </c>
      <c r="D273" t="s">
        <v>18</v>
      </c>
      <c r="E273" t="s">
        <v>20</v>
      </c>
      <c r="F273">
        <v>9</v>
      </c>
      <c r="G273">
        <v>600</v>
      </c>
      <c r="H273">
        <v>5400</v>
      </c>
    </row>
    <row r="274" spans="1:8" x14ac:dyDescent="0.25">
      <c r="A274">
        <v>270</v>
      </c>
      <c r="B274" s="1">
        <v>46185</v>
      </c>
      <c r="C274" t="s">
        <v>25</v>
      </c>
      <c r="D274" t="s">
        <v>27</v>
      </c>
      <c r="E274" t="s">
        <v>22</v>
      </c>
      <c r="F274">
        <v>4</v>
      </c>
      <c r="G274">
        <v>100</v>
      </c>
      <c r="H274">
        <v>400</v>
      </c>
    </row>
    <row r="275" spans="1:8" x14ac:dyDescent="0.25">
      <c r="A275">
        <v>271</v>
      </c>
      <c r="B275" s="1">
        <v>46186</v>
      </c>
      <c r="C275" t="s">
        <v>21</v>
      </c>
      <c r="D275" t="s">
        <v>9</v>
      </c>
      <c r="E275" t="s">
        <v>13</v>
      </c>
      <c r="F275">
        <v>4</v>
      </c>
      <c r="G275">
        <v>120</v>
      </c>
      <c r="H275">
        <v>480</v>
      </c>
    </row>
    <row r="276" spans="1:8" x14ac:dyDescent="0.25">
      <c r="A276">
        <v>272</v>
      </c>
      <c r="B276" s="1">
        <v>46187</v>
      </c>
      <c r="C276" t="s">
        <v>8</v>
      </c>
      <c r="D276" t="s">
        <v>27</v>
      </c>
      <c r="E276" t="s">
        <v>10</v>
      </c>
      <c r="F276">
        <v>4</v>
      </c>
      <c r="G276">
        <v>100</v>
      </c>
      <c r="H276">
        <v>400</v>
      </c>
    </row>
    <row r="277" spans="1:8" x14ac:dyDescent="0.25">
      <c r="A277">
        <v>273</v>
      </c>
      <c r="B277" s="1">
        <v>46188</v>
      </c>
      <c r="C277" t="s">
        <v>25</v>
      </c>
      <c r="D277" t="s">
        <v>12</v>
      </c>
      <c r="E277" t="s">
        <v>16</v>
      </c>
      <c r="F277">
        <v>7</v>
      </c>
      <c r="G277">
        <v>500</v>
      </c>
      <c r="H277">
        <v>3500</v>
      </c>
    </row>
    <row r="278" spans="1:8" x14ac:dyDescent="0.25">
      <c r="A278">
        <v>274</v>
      </c>
      <c r="B278" s="1">
        <v>46189</v>
      </c>
      <c r="C278" t="s">
        <v>19</v>
      </c>
      <c r="D278" t="s">
        <v>27</v>
      </c>
      <c r="E278" t="s">
        <v>22</v>
      </c>
      <c r="F278">
        <v>4</v>
      </c>
      <c r="G278">
        <v>50</v>
      </c>
      <c r="H278">
        <v>200</v>
      </c>
    </row>
    <row r="279" spans="1:8" x14ac:dyDescent="0.25">
      <c r="A279">
        <v>275</v>
      </c>
      <c r="B279" s="1">
        <v>46190</v>
      </c>
      <c r="C279" t="s">
        <v>24</v>
      </c>
      <c r="D279" t="s">
        <v>18</v>
      </c>
      <c r="E279" t="s">
        <v>10</v>
      </c>
      <c r="F279">
        <v>3</v>
      </c>
      <c r="G279">
        <v>100</v>
      </c>
      <c r="H279">
        <v>300</v>
      </c>
    </row>
    <row r="280" spans="1:8" x14ac:dyDescent="0.25">
      <c r="A280">
        <v>276</v>
      </c>
      <c r="B280" s="1">
        <v>46191</v>
      </c>
      <c r="C280" t="s">
        <v>26</v>
      </c>
      <c r="D280" t="s">
        <v>12</v>
      </c>
      <c r="E280" t="s">
        <v>15</v>
      </c>
      <c r="F280">
        <v>5</v>
      </c>
      <c r="G280">
        <v>8000</v>
      </c>
      <c r="H280">
        <v>40000</v>
      </c>
    </row>
    <row r="281" spans="1:8" x14ac:dyDescent="0.25">
      <c r="A281">
        <v>277</v>
      </c>
      <c r="B281" s="1">
        <v>46192</v>
      </c>
      <c r="C281" t="s">
        <v>17</v>
      </c>
      <c r="D281" t="s">
        <v>27</v>
      </c>
      <c r="E281" t="s">
        <v>22</v>
      </c>
      <c r="F281">
        <v>6</v>
      </c>
      <c r="G281">
        <v>500</v>
      </c>
      <c r="H281">
        <v>3000</v>
      </c>
    </row>
    <row r="282" spans="1:8" x14ac:dyDescent="0.25">
      <c r="A282">
        <v>278</v>
      </c>
      <c r="B282" s="1">
        <v>46193</v>
      </c>
      <c r="C282" t="s">
        <v>17</v>
      </c>
      <c r="D282" t="s">
        <v>9</v>
      </c>
      <c r="E282" t="s">
        <v>10</v>
      </c>
      <c r="F282">
        <v>5</v>
      </c>
      <c r="G282">
        <v>230</v>
      </c>
      <c r="H282">
        <v>1150</v>
      </c>
    </row>
    <row r="283" spans="1:8" x14ac:dyDescent="0.25">
      <c r="A283">
        <v>279</v>
      </c>
      <c r="B283" s="1">
        <v>46194</v>
      </c>
      <c r="C283" t="s">
        <v>17</v>
      </c>
      <c r="D283" t="s">
        <v>18</v>
      </c>
      <c r="E283" t="s">
        <v>22</v>
      </c>
      <c r="F283">
        <v>4</v>
      </c>
      <c r="G283">
        <v>50</v>
      </c>
      <c r="H283">
        <v>200</v>
      </c>
    </row>
    <row r="284" spans="1:8" x14ac:dyDescent="0.25">
      <c r="A284">
        <v>280</v>
      </c>
      <c r="B284" s="1">
        <v>46195</v>
      </c>
      <c r="C284" t="s">
        <v>11</v>
      </c>
      <c r="D284" t="s">
        <v>27</v>
      </c>
      <c r="E284" t="s">
        <v>13</v>
      </c>
      <c r="F284">
        <v>9</v>
      </c>
      <c r="G284">
        <v>500</v>
      </c>
      <c r="H284">
        <v>4500</v>
      </c>
    </row>
    <row r="285" spans="1:8" x14ac:dyDescent="0.25">
      <c r="A285">
        <v>281</v>
      </c>
      <c r="B285" s="1">
        <v>46196</v>
      </c>
      <c r="C285" t="s">
        <v>19</v>
      </c>
      <c r="D285" t="s">
        <v>27</v>
      </c>
      <c r="E285" t="s">
        <v>15</v>
      </c>
      <c r="F285">
        <v>7</v>
      </c>
      <c r="G285">
        <v>230</v>
      </c>
      <c r="H285">
        <v>1610</v>
      </c>
    </row>
    <row r="286" spans="1:8" x14ac:dyDescent="0.25">
      <c r="A286">
        <v>282</v>
      </c>
      <c r="B286" s="1">
        <v>46197</v>
      </c>
      <c r="C286" t="s">
        <v>17</v>
      </c>
      <c r="D286" t="s">
        <v>27</v>
      </c>
      <c r="E286" t="s">
        <v>15</v>
      </c>
      <c r="F286">
        <v>6</v>
      </c>
      <c r="G286">
        <v>500</v>
      </c>
      <c r="H286">
        <v>3000</v>
      </c>
    </row>
    <row r="287" spans="1:8" x14ac:dyDescent="0.25">
      <c r="A287">
        <v>283</v>
      </c>
      <c r="B287" s="1">
        <v>46198</v>
      </c>
      <c r="C287" t="s">
        <v>26</v>
      </c>
      <c r="D287" t="s">
        <v>27</v>
      </c>
      <c r="E287" t="s">
        <v>28</v>
      </c>
      <c r="F287">
        <v>7</v>
      </c>
      <c r="G287">
        <v>500</v>
      </c>
      <c r="H287">
        <v>3500</v>
      </c>
    </row>
    <row r="288" spans="1:8" x14ac:dyDescent="0.25">
      <c r="A288">
        <v>284</v>
      </c>
      <c r="B288" s="1">
        <v>46199</v>
      </c>
      <c r="C288" t="s">
        <v>23</v>
      </c>
      <c r="D288" t="s">
        <v>12</v>
      </c>
      <c r="E288" t="s">
        <v>20</v>
      </c>
      <c r="F288">
        <v>1</v>
      </c>
      <c r="G288">
        <v>50</v>
      </c>
      <c r="H288">
        <v>50</v>
      </c>
    </row>
    <row r="289" spans="1:8" x14ac:dyDescent="0.25">
      <c r="A289">
        <v>285</v>
      </c>
      <c r="B289" s="1">
        <v>46200</v>
      </c>
      <c r="C289" t="s">
        <v>23</v>
      </c>
      <c r="D289" t="s">
        <v>18</v>
      </c>
      <c r="E289" t="s">
        <v>15</v>
      </c>
      <c r="F289">
        <v>5</v>
      </c>
      <c r="G289">
        <v>50</v>
      </c>
      <c r="H289">
        <v>250</v>
      </c>
    </row>
    <row r="290" spans="1:8" x14ac:dyDescent="0.25">
      <c r="A290">
        <v>286</v>
      </c>
      <c r="B290" s="1">
        <v>46201</v>
      </c>
      <c r="C290" t="s">
        <v>23</v>
      </c>
      <c r="D290" t="s">
        <v>27</v>
      </c>
      <c r="E290" t="s">
        <v>15</v>
      </c>
      <c r="F290">
        <v>5</v>
      </c>
      <c r="G290">
        <v>50</v>
      </c>
      <c r="H290">
        <v>250</v>
      </c>
    </row>
    <row r="291" spans="1:8" x14ac:dyDescent="0.25">
      <c r="A291">
        <v>287</v>
      </c>
      <c r="B291" s="1">
        <v>46202</v>
      </c>
      <c r="C291" t="s">
        <v>17</v>
      </c>
      <c r="D291" t="s">
        <v>12</v>
      </c>
      <c r="E291" t="s">
        <v>22</v>
      </c>
      <c r="F291">
        <v>5</v>
      </c>
      <c r="G291">
        <v>600</v>
      </c>
      <c r="H291">
        <v>3000</v>
      </c>
    </row>
    <row r="292" spans="1:8" x14ac:dyDescent="0.25">
      <c r="A292">
        <v>288</v>
      </c>
      <c r="B292" s="1">
        <v>46203</v>
      </c>
      <c r="C292" t="s">
        <v>19</v>
      </c>
      <c r="D292" t="s">
        <v>9</v>
      </c>
      <c r="E292" t="s">
        <v>20</v>
      </c>
      <c r="F292">
        <v>10</v>
      </c>
      <c r="G292">
        <v>600</v>
      </c>
      <c r="H292">
        <v>6000</v>
      </c>
    </row>
    <row r="293" spans="1:8" x14ac:dyDescent="0.25">
      <c r="A293">
        <v>289</v>
      </c>
      <c r="B293" s="1">
        <v>46204</v>
      </c>
      <c r="C293" t="s">
        <v>24</v>
      </c>
      <c r="D293" t="s">
        <v>9</v>
      </c>
      <c r="E293" t="s">
        <v>13</v>
      </c>
      <c r="F293">
        <v>6</v>
      </c>
      <c r="G293">
        <v>50</v>
      </c>
      <c r="H293">
        <v>300</v>
      </c>
    </row>
    <row r="294" spans="1:8" x14ac:dyDescent="0.25">
      <c r="A294">
        <v>290</v>
      </c>
      <c r="B294" s="1">
        <v>46205</v>
      </c>
      <c r="C294" t="s">
        <v>24</v>
      </c>
      <c r="D294" t="s">
        <v>18</v>
      </c>
      <c r="E294" t="s">
        <v>28</v>
      </c>
      <c r="F294">
        <v>3</v>
      </c>
      <c r="G294">
        <v>8000</v>
      </c>
      <c r="H294">
        <v>24000</v>
      </c>
    </row>
    <row r="295" spans="1:8" x14ac:dyDescent="0.25">
      <c r="A295">
        <v>291</v>
      </c>
      <c r="B295" s="1">
        <v>46206</v>
      </c>
      <c r="C295" t="s">
        <v>14</v>
      </c>
      <c r="D295" t="s">
        <v>9</v>
      </c>
      <c r="E295" t="s">
        <v>10</v>
      </c>
      <c r="F295">
        <v>7</v>
      </c>
      <c r="G295">
        <v>500</v>
      </c>
      <c r="H295">
        <v>3500</v>
      </c>
    </row>
    <row r="296" spans="1:8" x14ac:dyDescent="0.25">
      <c r="A296">
        <v>292</v>
      </c>
      <c r="B296" s="1">
        <v>46207</v>
      </c>
      <c r="C296" t="s">
        <v>19</v>
      </c>
      <c r="D296" t="s">
        <v>27</v>
      </c>
      <c r="E296" t="s">
        <v>22</v>
      </c>
      <c r="F296">
        <v>9</v>
      </c>
      <c r="G296">
        <v>100</v>
      </c>
      <c r="H296">
        <v>900</v>
      </c>
    </row>
    <row r="297" spans="1:8" x14ac:dyDescent="0.25">
      <c r="A297">
        <v>293</v>
      </c>
      <c r="B297" s="1">
        <v>46208</v>
      </c>
      <c r="C297" t="s">
        <v>14</v>
      </c>
      <c r="D297" t="s">
        <v>9</v>
      </c>
      <c r="E297" t="s">
        <v>15</v>
      </c>
      <c r="F297">
        <v>9</v>
      </c>
      <c r="G297">
        <v>500</v>
      </c>
      <c r="H297">
        <v>4500</v>
      </c>
    </row>
    <row r="298" spans="1:8" x14ac:dyDescent="0.25">
      <c r="A298">
        <v>294</v>
      </c>
      <c r="B298" s="1">
        <v>46209</v>
      </c>
      <c r="C298" t="s">
        <v>26</v>
      </c>
      <c r="D298" t="s">
        <v>9</v>
      </c>
      <c r="E298" t="s">
        <v>20</v>
      </c>
      <c r="F298">
        <v>9</v>
      </c>
      <c r="G298">
        <v>8000</v>
      </c>
      <c r="H298">
        <v>72000</v>
      </c>
    </row>
    <row r="299" spans="1:8" x14ac:dyDescent="0.25">
      <c r="A299">
        <v>295</v>
      </c>
      <c r="B299" s="1">
        <v>46210</v>
      </c>
      <c r="C299" t="s">
        <v>25</v>
      </c>
      <c r="D299" t="s">
        <v>27</v>
      </c>
      <c r="E299" t="s">
        <v>20</v>
      </c>
      <c r="F299">
        <v>2</v>
      </c>
      <c r="G299">
        <v>600</v>
      </c>
      <c r="H299">
        <v>1200</v>
      </c>
    </row>
    <row r="300" spans="1:8" x14ac:dyDescent="0.25">
      <c r="A300">
        <v>296</v>
      </c>
      <c r="B300" s="1">
        <v>46211</v>
      </c>
      <c r="C300" t="s">
        <v>11</v>
      </c>
      <c r="D300" t="s">
        <v>18</v>
      </c>
      <c r="E300" t="s">
        <v>15</v>
      </c>
      <c r="F300">
        <v>2</v>
      </c>
      <c r="G300">
        <v>50</v>
      </c>
      <c r="H300">
        <v>100</v>
      </c>
    </row>
    <row r="301" spans="1:8" x14ac:dyDescent="0.25">
      <c r="A301">
        <v>297</v>
      </c>
      <c r="B301" s="1">
        <v>46212</v>
      </c>
      <c r="C301" t="s">
        <v>21</v>
      </c>
      <c r="D301" t="s">
        <v>9</v>
      </c>
      <c r="E301" t="s">
        <v>20</v>
      </c>
      <c r="F301">
        <v>5</v>
      </c>
      <c r="G301">
        <v>500</v>
      </c>
      <c r="H301">
        <v>2500</v>
      </c>
    </row>
    <row r="302" spans="1:8" x14ac:dyDescent="0.25">
      <c r="A302">
        <v>298</v>
      </c>
      <c r="B302" s="1">
        <v>46213</v>
      </c>
      <c r="C302" t="s">
        <v>25</v>
      </c>
      <c r="D302" t="s">
        <v>12</v>
      </c>
      <c r="E302" t="s">
        <v>15</v>
      </c>
      <c r="F302">
        <v>1</v>
      </c>
      <c r="G302">
        <v>230</v>
      </c>
      <c r="H302">
        <v>230</v>
      </c>
    </row>
    <row r="303" spans="1:8" x14ac:dyDescent="0.25">
      <c r="A303">
        <v>299</v>
      </c>
      <c r="B303" s="1">
        <v>46214</v>
      </c>
      <c r="C303" t="s">
        <v>11</v>
      </c>
      <c r="D303" t="s">
        <v>18</v>
      </c>
      <c r="E303" t="s">
        <v>13</v>
      </c>
      <c r="F303">
        <v>4</v>
      </c>
      <c r="G303">
        <v>600</v>
      </c>
      <c r="H303">
        <v>2400</v>
      </c>
    </row>
    <row r="304" spans="1:8" x14ac:dyDescent="0.25">
      <c r="A304">
        <v>300</v>
      </c>
      <c r="B304" s="1">
        <v>46215</v>
      </c>
      <c r="C304" t="s">
        <v>24</v>
      </c>
      <c r="D304" t="s">
        <v>27</v>
      </c>
      <c r="E304" t="s">
        <v>13</v>
      </c>
      <c r="F304">
        <v>4</v>
      </c>
      <c r="G304">
        <v>230</v>
      </c>
      <c r="H304">
        <v>920</v>
      </c>
    </row>
    <row r="305" spans="1:8" x14ac:dyDescent="0.25">
      <c r="A305">
        <v>301</v>
      </c>
      <c r="B305" s="1">
        <v>46216</v>
      </c>
      <c r="C305" t="s">
        <v>26</v>
      </c>
      <c r="D305" t="s">
        <v>9</v>
      </c>
      <c r="E305" t="s">
        <v>20</v>
      </c>
      <c r="F305">
        <v>8</v>
      </c>
      <c r="G305">
        <v>8000</v>
      </c>
      <c r="H305">
        <v>64000</v>
      </c>
    </row>
    <row r="306" spans="1:8" x14ac:dyDescent="0.25">
      <c r="A306">
        <v>302</v>
      </c>
      <c r="B306" s="1">
        <v>46217</v>
      </c>
      <c r="C306" t="s">
        <v>26</v>
      </c>
      <c r="D306" t="s">
        <v>18</v>
      </c>
      <c r="E306" t="s">
        <v>10</v>
      </c>
      <c r="F306">
        <v>1</v>
      </c>
      <c r="G306">
        <v>8000</v>
      </c>
      <c r="H306">
        <v>8000</v>
      </c>
    </row>
    <row r="307" spans="1:8" x14ac:dyDescent="0.25">
      <c r="A307">
        <v>303</v>
      </c>
      <c r="B307" s="1">
        <v>46218</v>
      </c>
      <c r="C307" t="s">
        <v>8</v>
      </c>
      <c r="D307" t="s">
        <v>27</v>
      </c>
      <c r="E307" t="s">
        <v>16</v>
      </c>
      <c r="F307">
        <v>10</v>
      </c>
      <c r="G307">
        <v>8000</v>
      </c>
      <c r="H307">
        <v>80000</v>
      </c>
    </row>
    <row r="308" spans="1:8" x14ac:dyDescent="0.25">
      <c r="A308">
        <v>304</v>
      </c>
      <c r="B308" s="1">
        <v>46219</v>
      </c>
      <c r="C308" t="s">
        <v>8</v>
      </c>
      <c r="D308" t="s">
        <v>9</v>
      </c>
      <c r="E308" t="s">
        <v>28</v>
      </c>
      <c r="F308">
        <v>10</v>
      </c>
      <c r="G308">
        <v>50</v>
      </c>
      <c r="H308">
        <v>500</v>
      </c>
    </row>
    <row r="309" spans="1:8" x14ac:dyDescent="0.25">
      <c r="A309">
        <v>305</v>
      </c>
      <c r="B309" s="1">
        <v>46220</v>
      </c>
      <c r="C309" t="s">
        <v>26</v>
      </c>
      <c r="D309" t="s">
        <v>12</v>
      </c>
      <c r="E309" t="s">
        <v>15</v>
      </c>
      <c r="F309">
        <v>10</v>
      </c>
      <c r="G309">
        <v>100</v>
      </c>
      <c r="H309">
        <v>1000</v>
      </c>
    </row>
    <row r="310" spans="1:8" x14ac:dyDescent="0.25">
      <c r="A310">
        <v>306</v>
      </c>
      <c r="B310" s="1">
        <v>46221</v>
      </c>
      <c r="C310" t="s">
        <v>24</v>
      </c>
      <c r="D310" t="s">
        <v>27</v>
      </c>
      <c r="E310" t="s">
        <v>15</v>
      </c>
      <c r="F310">
        <v>8</v>
      </c>
      <c r="G310">
        <v>50</v>
      </c>
      <c r="H310">
        <v>400</v>
      </c>
    </row>
    <row r="311" spans="1:8" x14ac:dyDescent="0.25">
      <c r="A311">
        <v>307</v>
      </c>
      <c r="B311" s="1">
        <v>46222</v>
      </c>
      <c r="C311" t="s">
        <v>23</v>
      </c>
      <c r="D311" t="s">
        <v>18</v>
      </c>
      <c r="E311" t="s">
        <v>13</v>
      </c>
      <c r="F311">
        <v>10</v>
      </c>
      <c r="G311">
        <v>120</v>
      </c>
      <c r="H311">
        <v>1200</v>
      </c>
    </row>
    <row r="312" spans="1:8" x14ac:dyDescent="0.25">
      <c r="A312">
        <v>308</v>
      </c>
      <c r="B312" s="1">
        <v>46223</v>
      </c>
      <c r="C312" t="s">
        <v>14</v>
      </c>
      <c r="D312" t="s">
        <v>27</v>
      </c>
      <c r="E312" t="s">
        <v>16</v>
      </c>
      <c r="F312">
        <v>6</v>
      </c>
      <c r="G312">
        <v>230</v>
      </c>
      <c r="H312">
        <v>1380</v>
      </c>
    </row>
    <row r="313" spans="1:8" x14ac:dyDescent="0.25">
      <c r="A313">
        <v>309</v>
      </c>
      <c r="B313" s="1">
        <v>46224</v>
      </c>
      <c r="C313" t="s">
        <v>21</v>
      </c>
      <c r="D313" t="s">
        <v>18</v>
      </c>
      <c r="E313" t="s">
        <v>15</v>
      </c>
      <c r="F313">
        <v>4</v>
      </c>
      <c r="G313">
        <v>600</v>
      </c>
      <c r="H313">
        <v>2400</v>
      </c>
    </row>
    <row r="314" spans="1:8" x14ac:dyDescent="0.25">
      <c r="A314">
        <v>310</v>
      </c>
      <c r="B314" s="1">
        <v>46225</v>
      </c>
      <c r="C314" t="s">
        <v>25</v>
      </c>
      <c r="D314" t="s">
        <v>27</v>
      </c>
      <c r="E314" t="s">
        <v>22</v>
      </c>
      <c r="F314">
        <v>10</v>
      </c>
      <c r="G314">
        <v>8000</v>
      </c>
      <c r="H314">
        <v>80000</v>
      </c>
    </row>
    <row r="315" spans="1:8" x14ac:dyDescent="0.25">
      <c r="A315">
        <v>311</v>
      </c>
      <c r="B315" s="1">
        <v>46226</v>
      </c>
      <c r="C315" t="s">
        <v>11</v>
      </c>
      <c r="D315" t="s">
        <v>27</v>
      </c>
      <c r="E315" t="s">
        <v>20</v>
      </c>
      <c r="F315">
        <v>6</v>
      </c>
      <c r="G315">
        <v>120</v>
      </c>
      <c r="H315">
        <v>720</v>
      </c>
    </row>
    <row r="316" spans="1:8" x14ac:dyDescent="0.25">
      <c r="A316">
        <v>312</v>
      </c>
      <c r="B316" s="1">
        <v>46227</v>
      </c>
      <c r="C316" t="s">
        <v>19</v>
      </c>
      <c r="D316" t="s">
        <v>18</v>
      </c>
      <c r="E316" t="s">
        <v>20</v>
      </c>
      <c r="F316">
        <v>7</v>
      </c>
      <c r="G316">
        <v>230</v>
      </c>
      <c r="H316">
        <v>1610</v>
      </c>
    </row>
    <row r="317" spans="1:8" x14ac:dyDescent="0.25">
      <c r="A317">
        <v>313</v>
      </c>
      <c r="B317" s="1">
        <v>46228</v>
      </c>
      <c r="C317" t="s">
        <v>25</v>
      </c>
      <c r="D317" t="s">
        <v>12</v>
      </c>
      <c r="E317" t="s">
        <v>20</v>
      </c>
      <c r="F317">
        <v>8</v>
      </c>
      <c r="G317">
        <v>600</v>
      </c>
      <c r="H317">
        <v>4800</v>
      </c>
    </row>
    <row r="318" spans="1:8" x14ac:dyDescent="0.25">
      <c r="A318">
        <v>314</v>
      </c>
      <c r="B318" s="1">
        <v>46229</v>
      </c>
      <c r="C318" t="s">
        <v>26</v>
      </c>
      <c r="D318" t="s">
        <v>12</v>
      </c>
      <c r="E318" t="s">
        <v>16</v>
      </c>
      <c r="F318">
        <v>4</v>
      </c>
      <c r="G318">
        <v>50</v>
      </c>
      <c r="H318">
        <v>200</v>
      </c>
    </row>
    <row r="319" spans="1:8" x14ac:dyDescent="0.25">
      <c r="A319">
        <v>315</v>
      </c>
      <c r="B319" s="1">
        <v>46230</v>
      </c>
      <c r="C319" t="s">
        <v>11</v>
      </c>
      <c r="D319" t="s">
        <v>9</v>
      </c>
      <c r="E319" t="s">
        <v>22</v>
      </c>
      <c r="F319">
        <v>8</v>
      </c>
      <c r="G319">
        <v>8000</v>
      </c>
      <c r="H319">
        <v>64000</v>
      </c>
    </row>
    <row r="320" spans="1:8" x14ac:dyDescent="0.25">
      <c r="A320">
        <v>316</v>
      </c>
      <c r="B320" s="1">
        <v>46231</v>
      </c>
      <c r="C320" t="s">
        <v>11</v>
      </c>
      <c r="D320" t="s">
        <v>18</v>
      </c>
      <c r="E320" t="s">
        <v>20</v>
      </c>
      <c r="F320">
        <v>2</v>
      </c>
      <c r="G320">
        <v>500</v>
      </c>
      <c r="H320">
        <v>1000</v>
      </c>
    </row>
    <row r="321" spans="1:8" x14ac:dyDescent="0.25">
      <c r="A321">
        <v>317</v>
      </c>
      <c r="B321" s="1">
        <v>46232</v>
      </c>
      <c r="C321" t="s">
        <v>21</v>
      </c>
      <c r="D321" t="s">
        <v>12</v>
      </c>
      <c r="E321" t="s">
        <v>28</v>
      </c>
      <c r="F321">
        <v>2</v>
      </c>
      <c r="G321">
        <v>8000</v>
      </c>
      <c r="H321">
        <v>16000</v>
      </c>
    </row>
    <row r="322" spans="1:8" x14ac:dyDescent="0.25">
      <c r="A322">
        <v>318</v>
      </c>
      <c r="B322" s="1">
        <v>46233</v>
      </c>
      <c r="C322" t="s">
        <v>24</v>
      </c>
      <c r="D322" t="s">
        <v>18</v>
      </c>
      <c r="E322" t="s">
        <v>20</v>
      </c>
      <c r="F322">
        <v>2</v>
      </c>
      <c r="G322">
        <v>100</v>
      </c>
      <c r="H322">
        <v>200</v>
      </c>
    </row>
    <row r="323" spans="1:8" x14ac:dyDescent="0.25">
      <c r="A323">
        <v>319</v>
      </c>
      <c r="B323" s="1">
        <v>46234</v>
      </c>
      <c r="C323" t="s">
        <v>24</v>
      </c>
      <c r="D323" t="s">
        <v>18</v>
      </c>
      <c r="E323" t="s">
        <v>20</v>
      </c>
      <c r="F323">
        <v>9</v>
      </c>
      <c r="G323">
        <v>120</v>
      </c>
      <c r="H323">
        <v>1080</v>
      </c>
    </row>
    <row r="324" spans="1:8" x14ac:dyDescent="0.25">
      <c r="A324">
        <v>320</v>
      </c>
      <c r="B324" s="1">
        <v>46235</v>
      </c>
      <c r="C324" t="s">
        <v>26</v>
      </c>
      <c r="D324" t="s">
        <v>9</v>
      </c>
      <c r="E324" t="s">
        <v>16</v>
      </c>
      <c r="F324">
        <v>10</v>
      </c>
      <c r="G324">
        <v>600</v>
      </c>
      <c r="H324">
        <v>6000</v>
      </c>
    </row>
    <row r="325" spans="1:8" x14ac:dyDescent="0.25">
      <c r="A325">
        <v>321</v>
      </c>
      <c r="B325" s="1">
        <v>46236</v>
      </c>
      <c r="C325" t="s">
        <v>24</v>
      </c>
      <c r="D325" t="s">
        <v>12</v>
      </c>
      <c r="E325" t="s">
        <v>22</v>
      </c>
      <c r="F325">
        <v>3</v>
      </c>
      <c r="G325">
        <v>500</v>
      </c>
      <c r="H325">
        <v>1500</v>
      </c>
    </row>
    <row r="326" spans="1:8" x14ac:dyDescent="0.25">
      <c r="A326">
        <v>322</v>
      </c>
      <c r="B326" s="1">
        <v>46237</v>
      </c>
      <c r="C326" t="s">
        <v>24</v>
      </c>
      <c r="D326" t="s">
        <v>27</v>
      </c>
      <c r="E326" t="s">
        <v>13</v>
      </c>
      <c r="F326">
        <v>8</v>
      </c>
      <c r="G326">
        <v>230</v>
      </c>
      <c r="H326">
        <v>1840</v>
      </c>
    </row>
    <row r="327" spans="1:8" x14ac:dyDescent="0.25">
      <c r="A327">
        <v>323</v>
      </c>
      <c r="B327" s="1">
        <v>46238</v>
      </c>
      <c r="C327" t="s">
        <v>23</v>
      </c>
      <c r="D327" t="s">
        <v>12</v>
      </c>
      <c r="E327" t="s">
        <v>16</v>
      </c>
      <c r="F327">
        <v>10</v>
      </c>
      <c r="G327">
        <v>8000</v>
      </c>
      <c r="H327">
        <v>80000</v>
      </c>
    </row>
    <row r="328" spans="1:8" x14ac:dyDescent="0.25">
      <c r="A328">
        <v>324</v>
      </c>
      <c r="B328" s="1">
        <v>46239</v>
      </c>
      <c r="C328" t="s">
        <v>26</v>
      </c>
      <c r="D328" t="s">
        <v>27</v>
      </c>
      <c r="E328" t="s">
        <v>16</v>
      </c>
      <c r="F328">
        <v>4</v>
      </c>
      <c r="G328">
        <v>120</v>
      </c>
      <c r="H328">
        <v>480</v>
      </c>
    </row>
    <row r="329" spans="1:8" x14ac:dyDescent="0.25">
      <c r="A329">
        <v>325</v>
      </c>
      <c r="B329" s="1">
        <v>46240</v>
      </c>
      <c r="C329" t="s">
        <v>21</v>
      </c>
      <c r="D329" t="s">
        <v>9</v>
      </c>
      <c r="E329" t="s">
        <v>13</v>
      </c>
      <c r="F329">
        <v>8</v>
      </c>
      <c r="G329">
        <v>8000</v>
      </c>
      <c r="H329">
        <v>64000</v>
      </c>
    </row>
    <row r="330" spans="1:8" x14ac:dyDescent="0.25">
      <c r="A330">
        <v>326</v>
      </c>
      <c r="B330" s="1">
        <v>46241</v>
      </c>
      <c r="C330" t="s">
        <v>23</v>
      </c>
      <c r="D330" t="s">
        <v>27</v>
      </c>
      <c r="E330" t="s">
        <v>20</v>
      </c>
      <c r="F330">
        <v>6</v>
      </c>
      <c r="G330">
        <v>600</v>
      </c>
      <c r="H330">
        <v>3600</v>
      </c>
    </row>
    <row r="331" spans="1:8" x14ac:dyDescent="0.25">
      <c r="A331">
        <v>327</v>
      </c>
      <c r="B331" s="1">
        <v>46242</v>
      </c>
      <c r="C331" t="s">
        <v>24</v>
      </c>
      <c r="D331" t="s">
        <v>18</v>
      </c>
      <c r="E331" t="s">
        <v>20</v>
      </c>
      <c r="F331">
        <v>10</v>
      </c>
      <c r="G331">
        <v>50</v>
      </c>
      <c r="H331">
        <v>500</v>
      </c>
    </row>
    <row r="332" spans="1:8" x14ac:dyDescent="0.25">
      <c r="A332">
        <v>328</v>
      </c>
      <c r="B332" s="1">
        <v>46243</v>
      </c>
      <c r="C332" t="s">
        <v>19</v>
      </c>
      <c r="D332" t="s">
        <v>27</v>
      </c>
      <c r="E332" t="s">
        <v>22</v>
      </c>
      <c r="F332">
        <v>2</v>
      </c>
      <c r="G332">
        <v>600</v>
      </c>
      <c r="H332">
        <v>1200</v>
      </c>
    </row>
    <row r="333" spans="1:8" x14ac:dyDescent="0.25">
      <c r="A333">
        <v>329</v>
      </c>
      <c r="B333" s="1">
        <v>46244</v>
      </c>
      <c r="C333" t="s">
        <v>23</v>
      </c>
      <c r="D333" t="s">
        <v>18</v>
      </c>
      <c r="E333" t="s">
        <v>28</v>
      </c>
      <c r="F333">
        <v>3</v>
      </c>
      <c r="G333">
        <v>120</v>
      </c>
      <c r="H333">
        <v>360</v>
      </c>
    </row>
    <row r="334" spans="1:8" x14ac:dyDescent="0.25">
      <c r="A334">
        <v>330</v>
      </c>
      <c r="B334" s="1">
        <v>46245</v>
      </c>
      <c r="C334" t="s">
        <v>24</v>
      </c>
      <c r="D334" t="s">
        <v>27</v>
      </c>
      <c r="E334" t="s">
        <v>15</v>
      </c>
      <c r="F334">
        <v>10</v>
      </c>
      <c r="G334">
        <v>500</v>
      </c>
      <c r="H334">
        <v>5000</v>
      </c>
    </row>
    <row r="335" spans="1:8" x14ac:dyDescent="0.25">
      <c r="A335">
        <v>331</v>
      </c>
      <c r="B335" s="1">
        <v>46246</v>
      </c>
      <c r="C335" t="s">
        <v>17</v>
      </c>
      <c r="D335" t="s">
        <v>9</v>
      </c>
      <c r="E335" t="s">
        <v>28</v>
      </c>
      <c r="F335">
        <v>7</v>
      </c>
      <c r="G335">
        <v>120</v>
      </c>
      <c r="H335">
        <v>840</v>
      </c>
    </row>
    <row r="336" spans="1:8" x14ac:dyDescent="0.25">
      <c r="A336">
        <v>332</v>
      </c>
      <c r="B336" s="1">
        <v>46247</v>
      </c>
      <c r="C336" t="s">
        <v>17</v>
      </c>
      <c r="D336" t="s">
        <v>27</v>
      </c>
      <c r="E336" t="s">
        <v>20</v>
      </c>
      <c r="F336">
        <v>5</v>
      </c>
      <c r="G336">
        <v>8000</v>
      </c>
      <c r="H336">
        <v>40000</v>
      </c>
    </row>
    <row r="337" spans="1:8" x14ac:dyDescent="0.25">
      <c r="A337">
        <v>333</v>
      </c>
      <c r="B337" s="1">
        <v>46248</v>
      </c>
      <c r="C337" t="s">
        <v>8</v>
      </c>
      <c r="D337" t="s">
        <v>9</v>
      </c>
      <c r="E337" t="s">
        <v>22</v>
      </c>
      <c r="F337">
        <v>10</v>
      </c>
      <c r="G337">
        <v>600</v>
      </c>
      <c r="H337">
        <v>6000</v>
      </c>
    </row>
    <row r="338" spans="1:8" x14ac:dyDescent="0.25">
      <c r="A338">
        <v>334</v>
      </c>
      <c r="B338" s="1">
        <v>46249</v>
      </c>
      <c r="C338" t="s">
        <v>8</v>
      </c>
      <c r="D338" t="s">
        <v>9</v>
      </c>
      <c r="E338" t="s">
        <v>28</v>
      </c>
      <c r="F338">
        <v>5</v>
      </c>
      <c r="G338">
        <v>8000</v>
      </c>
      <c r="H338">
        <v>40000</v>
      </c>
    </row>
    <row r="339" spans="1:8" x14ac:dyDescent="0.25">
      <c r="A339">
        <v>335</v>
      </c>
      <c r="B339" s="1">
        <v>46250</v>
      </c>
      <c r="C339" t="s">
        <v>23</v>
      </c>
      <c r="D339" t="s">
        <v>18</v>
      </c>
      <c r="E339" t="s">
        <v>10</v>
      </c>
      <c r="F339">
        <v>5</v>
      </c>
      <c r="G339">
        <v>600</v>
      </c>
      <c r="H339">
        <v>3000</v>
      </c>
    </row>
    <row r="340" spans="1:8" x14ac:dyDescent="0.25">
      <c r="A340">
        <v>336</v>
      </c>
      <c r="B340" s="1">
        <v>46251</v>
      </c>
      <c r="C340" t="s">
        <v>25</v>
      </c>
      <c r="D340" t="s">
        <v>9</v>
      </c>
      <c r="E340" t="s">
        <v>22</v>
      </c>
      <c r="F340">
        <v>9</v>
      </c>
      <c r="G340">
        <v>100</v>
      </c>
      <c r="H340">
        <v>900</v>
      </c>
    </row>
    <row r="341" spans="1:8" x14ac:dyDescent="0.25">
      <c r="A341">
        <v>337</v>
      </c>
      <c r="B341" s="1">
        <v>46252</v>
      </c>
      <c r="C341" t="s">
        <v>17</v>
      </c>
      <c r="D341" t="s">
        <v>9</v>
      </c>
      <c r="E341" t="s">
        <v>28</v>
      </c>
      <c r="F341">
        <v>1</v>
      </c>
      <c r="G341">
        <v>120</v>
      </c>
      <c r="H341">
        <v>120</v>
      </c>
    </row>
    <row r="342" spans="1:8" x14ac:dyDescent="0.25">
      <c r="A342">
        <v>338</v>
      </c>
      <c r="B342" s="1">
        <v>46253</v>
      </c>
      <c r="C342" t="s">
        <v>21</v>
      </c>
      <c r="D342" t="s">
        <v>27</v>
      </c>
      <c r="E342" t="s">
        <v>22</v>
      </c>
      <c r="F342">
        <v>7</v>
      </c>
      <c r="G342">
        <v>50</v>
      </c>
      <c r="H342">
        <v>350</v>
      </c>
    </row>
    <row r="343" spans="1:8" x14ac:dyDescent="0.25">
      <c r="A343">
        <v>339</v>
      </c>
      <c r="B343" s="1">
        <v>46254</v>
      </c>
      <c r="C343" t="s">
        <v>24</v>
      </c>
      <c r="D343" t="s">
        <v>12</v>
      </c>
      <c r="E343" t="s">
        <v>10</v>
      </c>
      <c r="F343">
        <v>10</v>
      </c>
      <c r="G343">
        <v>500</v>
      </c>
      <c r="H343">
        <v>5000</v>
      </c>
    </row>
    <row r="344" spans="1:8" x14ac:dyDescent="0.25">
      <c r="A344">
        <v>340</v>
      </c>
      <c r="B344" s="1">
        <v>46255</v>
      </c>
      <c r="C344" t="s">
        <v>23</v>
      </c>
      <c r="D344" t="s">
        <v>12</v>
      </c>
      <c r="E344" t="s">
        <v>13</v>
      </c>
      <c r="F344">
        <v>1</v>
      </c>
      <c r="G344">
        <v>600</v>
      </c>
      <c r="H344">
        <v>600</v>
      </c>
    </row>
    <row r="345" spans="1:8" x14ac:dyDescent="0.25">
      <c r="A345">
        <v>341</v>
      </c>
      <c r="B345" s="1">
        <v>46256</v>
      </c>
      <c r="C345" t="s">
        <v>14</v>
      </c>
      <c r="D345" t="s">
        <v>12</v>
      </c>
      <c r="E345" t="s">
        <v>15</v>
      </c>
      <c r="F345">
        <v>5</v>
      </c>
      <c r="G345">
        <v>8000</v>
      </c>
      <c r="H345">
        <v>40000</v>
      </c>
    </row>
    <row r="346" spans="1:8" x14ac:dyDescent="0.25">
      <c r="A346">
        <v>342</v>
      </c>
      <c r="B346" s="1">
        <v>46257</v>
      </c>
      <c r="C346" t="s">
        <v>11</v>
      </c>
      <c r="D346" t="s">
        <v>12</v>
      </c>
      <c r="E346" t="s">
        <v>10</v>
      </c>
      <c r="F346">
        <v>2</v>
      </c>
      <c r="G346">
        <v>230</v>
      </c>
      <c r="H346">
        <v>460</v>
      </c>
    </row>
    <row r="347" spans="1:8" x14ac:dyDescent="0.25">
      <c r="A347">
        <v>343</v>
      </c>
      <c r="B347" s="1">
        <v>46258</v>
      </c>
      <c r="C347" t="s">
        <v>19</v>
      </c>
      <c r="D347" t="s">
        <v>12</v>
      </c>
      <c r="E347" t="s">
        <v>15</v>
      </c>
      <c r="F347">
        <v>5</v>
      </c>
      <c r="G347">
        <v>8000</v>
      </c>
      <c r="H347">
        <v>40000</v>
      </c>
    </row>
    <row r="348" spans="1:8" x14ac:dyDescent="0.25">
      <c r="A348">
        <v>344</v>
      </c>
      <c r="B348" s="1">
        <v>46259</v>
      </c>
      <c r="C348" t="s">
        <v>19</v>
      </c>
      <c r="D348" t="s">
        <v>12</v>
      </c>
      <c r="E348" t="s">
        <v>20</v>
      </c>
      <c r="F348">
        <v>9</v>
      </c>
      <c r="G348">
        <v>120</v>
      </c>
      <c r="H348">
        <v>1080</v>
      </c>
    </row>
    <row r="349" spans="1:8" x14ac:dyDescent="0.25">
      <c r="A349">
        <v>345</v>
      </c>
      <c r="B349" s="1">
        <v>46260</v>
      </c>
      <c r="C349" t="s">
        <v>23</v>
      </c>
      <c r="D349" t="s">
        <v>27</v>
      </c>
      <c r="E349" t="s">
        <v>16</v>
      </c>
      <c r="F349">
        <v>2</v>
      </c>
      <c r="G349">
        <v>500</v>
      </c>
      <c r="H349">
        <v>1000</v>
      </c>
    </row>
    <row r="350" spans="1:8" x14ac:dyDescent="0.25">
      <c r="A350">
        <v>346</v>
      </c>
      <c r="B350" s="1">
        <v>46261</v>
      </c>
      <c r="C350" t="s">
        <v>26</v>
      </c>
      <c r="D350" t="s">
        <v>27</v>
      </c>
      <c r="E350" t="s">
        <v>15</v>
      </c>
      <c r="F350">
        <v>10</v>
      </c>
      <c r="G350">
        <v>120</v>
      </c>
      <c r="H350">
        <v>1200</v>
      </c>
    </row>
    <row r="351" spans="1:8" x14ac:dyDescent="0.25">
      <c r="A351">
        <v>347</v>
      </c>
      <c r="B351" s="1">
        <v>46262</v>
      </c>
      <c r="C351" t="s">
        <v>25</v>
      </c>
      <c r="D351" t="s">
        <v>12</v>
      </c>
      <c r="E351" t="s">
        <v>16</v>
      </c>
      <c r="F351">
        <v>7</v>
      </c>
      <c r="G351">
        <v>100</v>
      </c>
      <c r="H351">
        <v>700</v>
      </c>
    </row>
    <row r="352" spans="1:8" x14ac:dyDescent="0.25">
      <c r="A352">
        <v>348</v>
      </c>
      <c r="B352" s="1">
        <v>46263</v>
      </c>
      <c r="C352" t="s">
        <v>19</v>
      </c>
      <c r="D352" t="s">
        <v>9</v>
      </c>
      <c r="E352" t="s">
        <v>10</v>
      </c>
      <c r="F352">
        <v>8</v>
      </c>
      <c r="G352">
        <v>8000</v>
      </c>
      <c r="H352">
        <v>64000</v>
      </c>
    </row>
    <row r="353" spans="1:8" x14ac:dyDescent="0.25">
      <c r="A353">
        <v>349</v>
      </c>
      <c r="B353" s="1">
        <v>46264</v>
      </c>
      <c r="C353" t="s">
        <v>25</v>
      </c>
      <c r="D353" t="s">
        <v>12</v>
      </c>
      <c r="E353" t="s">
        <v>15</v>
      </c>
      <c r="F353">
        <v>8</v>
      </c>
      <c r="G353">
        <v>100</v>
      </c>
      <c r="H353">
        <v>800</v>
      </c>
    </row>
    <row r="354" spans="1:8" x14ac:dyDescent="0.25">
      <c r="A354">
        <v>350</v>
      </c>
      <c r="B354" s="1">
        <v>46265</v>
      </c>
      <c r="C354" t="s">
        <v>17</v>
      </c>
      <c r="D354" t="s">
        <v>9</v>
      </c>
      <c r="E354" t="s">
        <v>13</v>
      </c>
      <c r="F354">
        <v>10</v>
      </c>
      <c r="G354">
        <v>230</v>
      </c>
      <c r="H354">
        <v>2300</v>
      </c>
    </row>
    <row r="355" spans="1:8" x14ac:dyDescent="0.25">
      <c r="A355">
        <v>351</v>
      </c>
      <c r="B355" s="1">
        <v>46266</v>
      </c>
      <c r="C355" t="s">
        <v>17</v>
      </c>
      <c r="D355" t="s">
        <v>9</v>
      </c>
      <c r="E355" t="s">
        <v>10</v>
      </c>
      <c r="F355">
        <v>5</v>
      </c>
      <c r="G355">
        <v>8000</v>
      </c>
      <c r="H355">
        <v>40000</v>
      </c>
    </row>
    <row r="356" spans="1:8" x14ac:dyDescent="0.25">
      <c r="A356">
        <v>352</v>
      </c>
      <c r="B356" s="1">
        <v>46267</v>
      </c>
      <c r="C356" t="s">
        <v>19</v>
      </c>
      <c r="D356" t="s">
        <v>9</v>
      </c>
      <c r="E356" t="s">
        <v>15</v>
      </c>
      <c r="F356">
        <v>7</v>
      </c>
      <c r="G356">
        <v>600</v>
      </c>
      <c r="H356">
        <v>4200</v>
      </c>
    </row>
    <row r="357" spans="1:8" x14ac:dyDescent="0.25">
      <c r="A357">
        <v>353</v>
      </c>
      <c r="B357" s="1">
        <v>46268</v>
      </c>
      <c r="C357" t="s">
        <v>25</v>
      </c>
      <c r="D357" t="s">
        <v>18</v>
      </c>
      <c r="E357" t="s">
        <v>10</v>
      </c>
      <c r="F357">
        <v>9</v>
      </c>
      <c r="G357">
        <v>600</v>
      </c>
      <c r="H357">
        <v>5400</v>
      </c>
    </row>
    <row r="358" spans="1:8" x14ac:dyDescent="0.25">
      <c r="A358">
        <v>354</v>
      </c>
      <c r="B358" s="1">
        <v>46269</v>
      </c>
      <c r="C358" t="s">
        <v>19</v>
      </c>
      <c r="D358" t="s">
        <v>12</v>
      </c>
      <c r="E358" t="s">
        <v>20</v>
      </c>
      <c r="F358">
        <v>2</v>
      </c>
      <c r="G358">
        <v>8000</v>
      </c>
      <c r="H358">
        <v>16000</v>
      </c>
    </row>
    <row r="359" spans="1:8" x14ac:dyDescent="0.25">
      <c r="A359">
        <v>355</v>
      </c>
      <c r="B359" s="1">
        <v>46270</v>
      </c>
      <c r="C359" t="s">
        <v>19</v>
      </c>
      <c r="D359" t="s">
        <v>12</v>
      </c>
      <c r="E359" t="s">
        <v>15</v>
      </c>
      <c r="F359">
        <v>6</v>
      </c>
      <c r="G359">
        <v>500</v>
      </c>
      <c r="H359">
        <v>3000</v>
      </c>
    </row>
    <row r="360" spans="1:8" x14ac:dyDescent="0.25">
      <c r="A360">
        <v>356</v>
      </c>
      <c r="B360" s="1">
        <v>46271</v>
      </c>
      <c r="C360" t="s">
        <v>14</v>
      </c>
      <c r="D360" t="s">
        <v>12</v>
      </c>
      <c r="E360" t="s">
        <v>28</v>
      </c>
      <c r="F360">
        <v>4</v>
      </c>
      <c r="G360">
        <v>120</v>
      </c>
      <c r="H360">
        <v>480</v>
      </c>
    </row>
    <row r="361" spans="1:8" x14ac:dyDescent="0.25">
      <c r="A361">
        <v>357</v>
      </c>
      <c r="B361" s="1">
        <v>46272</v>
      </c>
      <c r="C361" t="s">
        <v>24</v>
      </c>
      <c r="D361" t="s">
        <v>18</v>
      </c>
      <c r="E361" t="s">
        <v>10</v>
      </c>
      <c r="F361">
        <v>4</v>
      </c>
      <c r="G361">
        <v>8000</v>
      </c>
      <c r="H361">
        <v>32000</v>
      </c>
    </row>
    <row r="362" spans="1:8" x14ac:dyDescent="0.25">
      <c r="A362">
        <v>358</v>
      </c>
      <c r="B362" s="1">
        <v>46273</v>
      </c>
      <c r="C362" t="s">
        <v>8</v>
      </c>
      <c r="D362" t="s">
        <v>9</v>
      </c>
      <c r="E362" t="s">
        <v>15</v>
      </c>
      <c r="F362">
        <v>10</v>
      </c>
      <c r="G362">
        <v>230</v>
      </c>
      <c r="H362">
        <v>2300</v>
      </c>
    </row>
    <row r="363" spans="1:8" x14ac:dyDescent="0.25">
      <c r="A363">
        <v>359</v>
      </c>
      <c r="B363" s="1">
        <v>46274</v>
      </c>
      <c r="C363" t="s">
        <v>14</v>
      </c>
      <c r="D363" t="s">
        <v>27</v>
      </c>
      <c r="E363" t="s">
        <v>15</v>
      </c>
      <c r="F363">
        <v>5</v>
      </c>
      <c r="G363">
        <v>500</v>
      </c>
      <c r="H363">
        <v>2500</v>
      </c>
    </row>
    <row r="364" spans="1:8" x14ac:dyDescent="0.25">
      <c r="A364">
        <v>360</v>
      </c>
      <c r="B364" s="1">
        <v>46275</v>
      </c>
      <c r="C364" t="s">
        <v>24</v>
      </c>
      <c r="D364" t="s">
        <v>9</v>
      </c>
      <c r="E364" t="s">
        <v>16</v>
      </c>
      <c r="F364">
        <v>3</v>
      </c>
      <c r="G364">
        <v>600</v>
      </c>
      <c r="H364">
        <v>1800</v>
      </c>
    </row>
    <row r="365" spans="1:8" x14ac:dyDescent="0.25">
      <c r="A365">
        <v>361</v>
      </c>
      <c r="B365" s="1">
        <v>46276</v>
      </c>
      <c r="C365" t="s">
        <v>19</v>
      </c>
      <c r="D365" t="s">
        <v>9</v>
      </c>
      <c r="E365" t="s">
        <v>20</v>
      </c>
      <c r="F365">
        <v>7</v>
      </c>
      <c r="G365">
        <v>50</v>
      </c>
      <c r="H365">
        <v>350</v>
      </c>
    </row>
    <row r="366" spans="1:8" x14ac:dyDescent="0.25">
      <c r="A366">
        <v>362</v>
      </c>
      <c r="B366" s="1">
        <v>46277</v>
      </c>
      <c r="C366" t="s">
        <v>8</v>
      </c>
      <c r="D366" t="s">
        <v>9</v>
      </c>
      <c r="E366" t="s">
        <v>22</v>
      </c>
      <c r="F366">
        <v>8</v>
      </c>
      <c r="G366">
        <v>600</v>
      </c>
      <c r="H366">
        <v>4800</v>
      </c>
    </row>
    <row r="367" spans="1:8" x14ac:dyDescent="0.25">
      <c r="A367">
        <v>363</v>
      </c>
      <c r="B367" s="1">
        <v>46278</v>
      </c>
      <c r="C367" t="s">
        <v>25</v>
      </c>
      <c r="D367" t="s">
        <v>18</v>
      </c>
      <c r="E367" t="s">
        <v>16</v>
      </c>
      <c r="F367">
        <v>4</v>
      </c>
      <c r="G367">
        <v>50</v>
      </c>
      <c r="H367">
        <v>200</v>
      </c>
    </row>
    <row r="368" spans="1:8" x14ac:dyDescent="0.25">
      <c r="A368">
        <v>364</v>
      </c>
      <c r="B368" s="1">
        <v>46279</v>
      </c>
      <c r="C368" t="s">
        <v>17</v>
      </c>
      <c r="D368" t="s">
        <v>27</v>
      </c>
      <c r="E368" t="s">
        <v>15</v>
      </c>
      <c r="F368">
        <v>1</v>
      </c>
      <c r="G368">
        <v>50</v>
      </c>
      <c r="H368">
        <v>50</v>
      </c>
    </row>
    <row r="369" spans="1:8" x14ac:dyDescent="0.25">
      <c r="A369">
        <v>365</v>
      </c>
      <c r="B369" s="1">
        <v>46280</v>
      </c>
      <c r="C369" t="s">
        <v>8</v>
      </c>
      <c r="D369" t="s">
        <v>27</v>
      </c>
      <c r="E369" t="s">
        <v>15</v>
      </c>
      <c r="F369">
        <v>7</v>
      </c>
      <c r="G369">
        <v>600</v>
      </c>
      <c r="H369">
        <v>4200</v>
      </c>
    </row>
    <row r="370" spans="1:8" x14ac:dyDescent="0.25">
      <c r="A370">
        <v>366</v>
      </c>
      <c r="B370" s="1">
        <v>46281</v>
      </c>
      <c r="C370" t="s">
        <v>19</v>
      </c>
      <c r="D370" t="s">
        <v>12</v>
      </c>
      <c r="E370" t="s">
        <v>20</v>
      </c>
      <c r="F370">
        <v>3</v>
      </c>
      <c r="G370">
        <v>120</v>
      </c>
      <c r="H370">
        <v>360</v>
      </c>
    </row>
    <row r="371" spans="1:8" x14ac:dyDescent="0.25">
      <c r="A371">
        <v>367</v>
      </c>
      <c r="B371" s="1">
        <v>46282</v>
      </c>
      <c r="C371" t="s">
        <v>17</v>
      </c>
      <c r="D371" t="s">
        <v>27</v>
      </c>
      <c r="E371" t="s">
        <v>10</v>
      </c>
      <c r="F371">
        <v>8</v>
      </c>
      <c r="G371">
        <v>8000</v>
      </c>
      <c r="H371">
        <v>64000</v>
      </c>
    </row>
    <row r="372" spans="1:8" x14ac:dyDescent="0.25">
      <c r="A372">
        <v>368</v>
      </c>
      <c r="B372" s="1">
        <v>46283</v>
      </c>
      <c r="C372" t="s">
        <v>24</v>
      </c>
      <c r="D372" t="s">
        <v>9</v>
      </c>
      <c r="E372" t="s">
        <v>15</v>
      </c>
      <c r="F372">
        <v>5</v>
      </c>
      <c r="G372">
        <v>600</v>
      </c>
      <c r="H372">
        <v>3000</v>
      </c>
    </row>
    <row r="373" spans="1:8" x14ac:dyDescent="0.25">
      <c r="A373">
        <v>369</v>
      </c>
      <c r="B373" s="1">
        <v>46284</v>
      </c>
      <c r="C373" t="s">
        <v>24</v>
      </c>
      <c r="D373" t="s">
        <v>27</v>
      </c>
      <c r="E373" t="s">
        <v>13</v>
      </c>
      <c r="F373">
        <v>5</v>
      </c>
      <c r="G373">
        <v>600</v>
      </c>
      <c r="H373">
        <v>3000</v>
      </c>
    </row>
    <row r="374" spans="1:8" x14ac:dyDescent="0.25">
      <c r="A374">
        <v>370</v>
      </c>
      <c r="B374" s="1">
        <v>46285</v>
      </c>
      <c r="C374" t="s">
        <v>25</v>
      </c>
      <c r="D374" t="s">
        <v>12</v>
      </c>
      <c r="E374" t="s">
        <v>15</v>
      </c>
      <c r="F374">
        <v>4</v>
      </c>
      <c r="G374">
        <v>600</v>
      </c>
      <c r="H374">
        <v>2400</v>
      </c>
    </row>
    <row r="375" spans="1:8" x14ac:dyDescent="0.25">
      <c r="A375">
        <v>371</v>
      </c>
      <c r="B375" s="1">
        <v>46286</v>
      </c>
      <c r="C375" t="s">
        <v>8</v>
      </c>
      <c r="D375" t="s">
        <v>12</v>
      </c>
      <c r="E375" t="s">
        <v>16</v>
      </c>
      <c r="F375">
        <v>1</v>
      </c>
      <c r="G375">
        <v>230</v>
      </c>
      <c r="H375">
        <v>230</v>
      </c>
    </row>
    <row r="376" spans="1:8" x14ac:dyDescent="0.25">
      <c r="A376">
        <v>372</v>
      </c>
      <c r="B376" s="1">
        <v>46287</v>
      </c>
      <c r="C376" t="s">
        <v>8</v>
      </c>
      <c r="D376" t="s">
        <v>18</v>
      </c>
      <c r="E376" t="s">
        <v>16</v>
      </c>
      <c r="F376">
        <v>10</v>
      </c>
      <c r="G376">
        <v>500</v>
      </c>
      <c r="H376">
        <v>5000</v>
      </c>
    </row>
    <row r="377" spans="1:8" x14ac:dyDescent="0.25">
      <c r="A377">
        <v>373</v>
      </c>
      <c r="B377" s="1">
        <v>46288</v>
      </c>
      <c r="C377" t="s">
        <v>19</v>
      </c>
      <c r="D377" t="s">
        <v>9</v>
      </c>
      <c r="E377" t="s">
        <v>16</v>
      </c>
      <c r="F377">
        <v>5</v>
      </c>
      <c r="G377">
        <v>500</v>
      </c>
      <c r="H377">
        <v>2500</v>
      </c>
    </row>
    <row r="378" spans="1:8" x14ac:dyDescent="0.25">
      <c r="A378">
        <v>374</v>
      </c>
      <c r="B378" s="1">
        <v>46289</v>
      </c>
      <c r="C378" t="s">
        <v>24</v>
      </c>
      <c r="D378" t="s">
        <v>12</v>
      </c>
      <c r="E378" t="s">
        <v>10</v>
      </c>
      <c r="F378">
        <v>6</v>
      </c>
      <c r="G378">
        <v>100</v>
      </c>
      <c r="H378">
        <v>600</v>
      </c>
    </row>
    <row r="379" spans="1:8" x14ac:dyDescent="0.25">
      <c r="A379">
        <v>375</v>
      </c>
      <c r="B379" s="1">
        <v>46290</v>
      </c>
      <c r="C379" t="s">
        <v>19</v>
      </c>
      <c r="D379" t="s">
        <v>9</v>
      </c>
      <c r="E379" t="s">
        <v>10</v>
      </c>
      <c r="F379">
        <v>7</v>
      </c>
      <c r="G379">
        <v>120</v>
      </c>
      <c r="H379">
        <v>840</v>
      </c>
    </row>
    <row r="380" spans="1:8" x14ac:dyDescent="0.25">
      <c r="A380">
        <v>376</v>
      </c>
      <c r="B380" s="1">
        <v>46291</v>
      </c>
      <c r="C380" t="s">
        <v>21</v>
      </c>
      <c r="D380" t="s">
        <v>12</v>
      </c>
      <c r="E380" t="s">
        <v>13</v>
      </c>
      <c r="F380">
        <v>1</v>
      </c>
      <c r="G380">
        <v>8000</v>
      </c>
      <c r="H380">
        <v>8000</v>
      </c>
    </row>
    <row r="381" spans="1:8" x14ac:dyDescent="0.25">
      <c r="A381">
        <v>377</v>
      </c>
      <c r="B381" s="1">
        <v>46292</v>
      </c>
      <c r="C381" t="s">
        <v>19</v>
      </c>
      <c r="D381" t="s">
        <v>27</v>
      </c>
      <c r="E381" t="s">
        <v>28</v>
      </c>
      <c r="F381">
        <v>9</v>
      </c>
      <c r="G381">
        <v>230</v>
      </c>
      <c r="H381">
        <v>2070</v>
      </c>
    </row>
    <row r="382" spans="1:8" x14ac:dyDescent="0.25">
      <c r="A382">
        <v>378</v>
      </c>
      <c r="B382" s="1">
        <v>46293</v>
      </c>
      <c r="C382" t="s">
        <v>24</v>
      </c>
      <c r="D382" t="s">
        <v>9</v>
      </c>
      <c r="E382" t="s">
        <v>10</v>
      </c>
      <c r="F382">
        <v>5</v>
      </c>
      <c r="G382">
        <v>100</v>
      </c>
      <c r="H382">
        <v>500</v>
      </c>
    </row>
    <row r="383" spans="1:8" x14ac:dyDescent="0.25">
      <c r="A383">
        <v>379</v>
      </c>
      <c r="B383" s="1">
        <v>46294</v>
      </c>
      <c r="C383" t="s">
        <v>24</v>
      </c>
      <c r="D383" t="s">
        <v>27</v>
      </c>
      <c r="E383" t="s">
        <v>28</v>
      </c>
      <c r="F383">
        <v>7</v>
      </c>
      <c r="G383">
        <v>8000</v>
      </c>
      <c r="H383">
        <v>56000</v>
      </c>
    </row>
    <row r="384" spans="1:8" x14ac:dyDescent="0.25">
      <c r="A384">
        <v>380</v>
      </c>
      <c r="B384" s="1">
        <v>46295</v>
      </c>
      <c r="C384" t="s">
        <v>17</v>
      </c>
      <c r="D384" t="s">
        <v>18</v>
      </c>
      <c r="E384" t="s">
        <v>28</v>
      </c>
      <c r="F384">
        <v>7</v>
      </c>
      <c r="G384">
        <v>50</v>
      </c>
      <c r="H384">
        <v>350</v>
      </c>
    </row>
    <row r="385" spans="1:8" x14ac:dyDescent="0.25">
      <c r="A385">
        <v>381</v>
      </c>
      <c r="B385" s="1">
        <v>46296</v>
      </c>
      <c r="C385" t="s">
        <v>11</v>
      </c>
      <c r="D385" t="s">
        <v>12</v>
      </c>
      <c r="E385" t="s">
        <v>15</v>
      </c>
      <c r="F385">
        <v>8</v>
      </c>
      <c r="G385">
        <v>50</v>
      </c>
      <c r="H385">
        <v>400</v>
      </c>
    </row>
    <row r="386" spans="1:8" x14ac:dyDescent="0.25">
      <c r="A386">
        <v>382</v>
      </c>
      <c r="B386" s="1">
        <v>46297</v>
      </c>
      <c r="C386" t="s">
        <v>17</v>
      </c>
      <c r="D386" t="s">
        <v>18</v>
      </c>
      <c r="E386" t="s">
        <v>16</v>
      </c>
      <c r="F386">
        <v>3</v>
      </c>
      <c r="G386">
        <v>50</v>
      </c>
      <c r="H386">
        <v>150</v>
      </c>
    </row>
    <row r="387" spans="1:8" x14ac:dyDescent="0.25">
      <c r="A387">
        <v>383</v>
      </c>
      <c r="B387" s="1">
        <v>46298</v>
      </c>
      <c r="C387" t="s">
        <v>14</v>
      </c>
      <c r="D387" t="s">
        <v>27</v>
      </c>
      <c r="E387" t="s">
        <v>20</v>
      </c>
      <c r="F387">
        <v>9</v>
      </c>
      <c r="G387">
        <v>600</v>
      </c>
      <c r="H387">
        <v>5400</v>
      </c>
    </row>
    <row r="388" spans="1:8" x14ac:dyDescent="0.25">
      <c r="A388">
        <v>384</v>
      </c>
      <c r="B388" s="1">
        <v>46299</v>
      </c>
      <c r="C388" t="s">
        <v>21</v>
      </c>
      <c r="D388" t="s">
        <v>12</v>
      </c>
      <c r="E388" t="s">
        <v>10</v>
      </c>
      <c r="F388">
        <v>9</v>
      </c>
      <c r="G388">
        <v>600</v>
      </c>
      <c r="H388">
        <v>5400</v>
      </c>
    </row>
    <row r="389" spans="1:8" x14ac:dyDescent="0.25">
      <c r="A389">
        <v>385</v>
      </c>
      <c r="B389" s="1">
        <v>46300</v>
      </c>
      <c r="C389" t="s">
        <v>11</v>
      </c>
      <c r="D389" t="s">
        <v>27</v>
      </c>
      <c r="E389" t="s">
        <v>20</v>
      </c>
      <c r="F389">
        <v>2</v>
      </c>
      <c r="G389">
        <v>600</v>
      </c>
      <c r="H389">
        <v>1200</v>
      </c>
    </row>
    <row r="390" spans="1:8" x14ac:dyDescent="0.25">
      <c r="A390">
        <v>386</v>
      </c>
      <c r="B390" s="1">
        <v>46301</v>
      </c>
      <c r="C390" t="s">
        <v>11</v>
      </c>
      <c r="D390" t="s">
        <v>9</v>
      </c>
      <c r="E390" t="s">
        <v>13</v>
      </c>
      <c r="F390">
        <v>2</v>
      </c>
      <c r="G390">
        <v>100</v>
      </c>
      <c r="H390">
        <v>200</v>
      </c>
    </row>
    <row r="391" spans="1:8" x14ac:dyDescent="0.25">
      <c r="A391">
        <v>387</v>
      </c>
      <c r="B391" s="1">
        <v>46302</v>
      </c>
      <c r="C391" t="s">
        <v>25</v>
      </c>
      <c r="D391" t="s">
        <v>12</v>
      </c>
      <c r="E391" t="s">
        <v>15</v>
      </c>
      <c r="F391">
        <v>9</v>
      </c>
      <c r="G391">
        <v>230</v>
      </c>
      <c r="H391">
        <v>2070</v>
      </c>
    </row>
    <row r="392" spans="1:8" x14ac:dyDescent="0.25">
      <c r="A392">
        <v>388</v>
      </c>
      <c r="B392" s="1">
        <v>46303</v>
      </c>
      <c r="C392" t="s">
        <v>11</v>
      </c>
      <c r="D392" t="s">
        <v>18</v>
      </c>
      <c r="E392" t="s">
        <v>20</v>
      </c>
      <c r="F392">
        <v>2</v>
      </c>
      <c r="G392">
        <v>230</v>
      </c>
      <c r="H392">
        <v>460</v>
      </c>
    </row>
    <row r="393" spans="1:8" x14ac:dyDescent="0.25">
      <c r="A393">
        <v>389</v>
      </c>
      <c r="B393" s="1">
        <v>46304</v>
      </c>
      <c r="C393" t="s">
        <v>24</v>
      </c>
      <c r="D393" t="s">
        <v>9</v>
      </c>
      <c r="E393" t="s">
        <v>22</v>
      </c>
      <c r="F393">
        <v>8</v>
      </c>
      <c r="G393">
        <v>100</v>
      </c>
      <c r="H393">
        <v>800</v>
      </c>
    </row>
    <row r="394" spans="1:8" x14ac:dyDescent="0.25">
      <c r="A394">
        <v>390</v>
      </c>
      <c r="B394" s="1">
        <v>46305</v>
      </c>
      <c r="C394" t="s">
        <v>19</v>
      </c>
      <c r="D394" t="s">
        <v>9</v>
      </c>
      <c r="E394" t="s">
        <v>28</v>
      </c>
      <c r="F394">
        <v>1</v>
      </c>
      <c r="G394">
        <v>600</v>
      </c>
      <c r="H394">
        <v>600</v>
      </c>
    </row>
    <row r="395" spans="1:8" x14ac:dyDescent="0.25">
      <c r="A395">
        <v>391</v>
      </c>
      <c r="B395" s="1">
        <v>46306</v>
      </c>
      <c r="C395" t="s">
        <v>8</v>
      </c>
      <c r="D395" t="s">
        <v>12</v>
      </c>
      <c r="E395" t="s">
        <v>16</v>
      </c>
      <c r="F395">
        <v>8</v>
      </c>
      <c r="G395">
        <v>100</v>
      </c>
      <c r="H395">
        <v>800</v>
      </c>
    </row>
    <row r="396" spans="1:8" x14ac:dyDescent="0.25">
      <c r="A396">
        <v>392</v>
      </c>
      <c r="B396" s="1">
        <v>46307</v>
      </c>
      <c r="C396" t="s">
        <v>24</v>
      </c>
      <c r="D396" t="s">
        <v>27</v>
      </c>
      <c r="E396" t="s">
        <v>28</v>
      </c>
      <c r="F396">
        <v>9</v>
      </c>
      <c r="G396">
        <v>8000</v>
      </c>
      <c r="H396">
        <v>72000</v>
      </c>
    </row>
    <row r="397" spans="1:8" x14ac:dyDescent="0.25">
      <c r="A397">
        <v>393</v>
      </c>
      <c r="B397" s="1">
        <v>46308</v>
      </c>
      <c r="C397" t="s">
        <v>17</v>
      </c>
      <c r="D397" t="s">
        <v>18</v>
      </c>
      <c r="E397" t="s">
        <v>15</v>
      </c>
      <c r="F397">
        <v>8</v>
      </c>
      <c r="G397">
        <v>500</v>
      </c>
      <c r="H397">
        <v>4000</v>
      </c>
    </row>
    <row r="398" spans="1:8" x14ac:dyDescent="0.25">
      <c r="A398">
        <v>394</v>
      </c>
      <c r="B398" s="1">
        <v>46309</v>
      </c>
      <c r="C398" t="s">
        <v>24</v>
      </c>
      <c r="D398" t="s">
        <v>12</v>
      </c>
      <c r="E398" t="s">
        <v>20</v>
      </c>
      <c r="F398">
        <v>3</v>
      </c>
      <c r="G398">
        <v>500</v>
      </c>
      <c r="H398">
        <v>1500</v>
      </c>
    </row>
    <row r="399" spans="1:8" x14ac:dyDescent="0.25">
      <c r="A399">
        <v>395</v>
      </c>
      <c r="B399" s="1">
        <v>46310</v>
      </c>
      <c r="C399" t="s">
        <v>24</v>
      </c>
      <c r="D399" t="s">
        <v>9</v>
      </c>
      <c r="E399" t="s">
        <v>13</v>
      </c>
      <c r="F399">
        <v>10</v>
      </c>
      <c r="G399">
        <v>230</v>
      </c>
      <c r="H399">
        <v>2300</v>
      </c>
    </row>
    <row r="400" spans="1:8" x14ac:dyDescent="0.25">
      <c r="A400">
        <v>396</v>
      </c>
      <c r="B400" s="1">
        <v>46311</v>
      </c>
      <c r="C400" t="s">
        <v>23</v>
      </c>
      <c r="D400" t="s">
        <v>18</v>
      </c>
      <c r="E400" t="s">
        <v>22</v>
      </c>
      <c r="F400">
        <v>10</v>
      </c>
      <c r="G400">
        <v>500</v>
      </c>
      <c r="H400">
        <v>5000</v>
      </c>
    </row>
    <row r="401" spans="1:8" x14ac:dyDescent="0.25">
      <c r="A401">
        <v>397</v>
      </c>
      <c r="B401" s="1">
        <v>46312</v>
      </c>
      <c r="C401" t="s">
        <v>14</v>
      </c>
      <c r="D401" t="s">
        <v>27</v>
      </c>
      <c r="E401" t="s">
        <v>20</v>
      </c>
      <c r="F401">
        <v>10</v>
      </c>
      <c r="G401">
        <v>230</v>
      </c>
      <c r="H401">
        <v>2300</v>
      </c>
    </row>
    <row r="402" spans="1:8" x14ac:dyDescent="0.25">
      <c r="A402">
        <v>398</v>
      </c>
      <c r="B402" s="1">
        <v>46313</v>
      </c>
      <c r="C402" t="s">
        <v>21</v>
      </c>
      <c r="D402" t="s">
        <v>12</v>
      </c>
      <c r="E402" t="s">
        <v>20</v>
      </c>
      <c r="F402">
        <v>6</v>
      </c>
      <c r="G402">
        <v>8000</v>
      </c>
      <c r="H402">
        <v>48000</v>
      </c>
    </row>
    <row r="403" spans="1:8" x14ac:dyDescent="0.25">
      <c r="A403">
        <v>399</v>
      </c>
      <c r="B403" s="1">
        <v>46314</v>
      </c>
      <c r="C403" t="s">
        <v>25</v>
      </c>
      <c r="D403" t="s">
        <v>12</v>
      </c>
      <c r="E403" t="s">
        <v>10</v>
      </c>
      <c r="F403">
        <v>2</v>
      </c>
      <c r="G403">
        <v>50</v>
      </c>
      <c r="H403">
        <v>100</v>
      </c>
    </row>
    <row r="404" spans="1:8" x14ac:dyDescent="0.25">
      <c r="A404">
        <v>400</v>
      </c>
      <c r="B404" s="1">
        <v>46315</v>
      </c>
      <c r="C404" t="s">
        <v>14</v>
      </c>
      <c r="D404" t="s">
        <v>18</v>
      </c>
      <c r="E404" t="s">
        <v>28</v>
      </c>
      <c r="F404">
        <v>5</v>
      </c>
      <c r="G404">
        <v>120</v>
      </c>
      <c r="H404">
        <v>600</v>
      </c>
    </row>
    <row r="405" spans="1:8" x14ac:dyDescent="0.25">
      <c r="A405">
        <v>401</v>
      </c>
      <c r="B405" s="1">
        <v>46316</v>
      </c>
      <c r="C405" t="s">
        <v>19</v>
      </c>
      <c r="D405" t="s">
        <v>18</v>
      </c>
      <c r="E405" t="s">
        <v>10</v>
      </c>
      <c r="F405">
        <v>10</v>
      </c>
      <c r="G405">
        <v>500</v>
      </c>
      <c r="H405">
        <v>5000</v>
      </c>
    </row>
    <row r="406" spans="1:8" x14ac:dyDescent="0.25">
      <c r="A406">
        <v>402</v>
      </c>
      <c r="B406" s="1">
        <v>46317</v>
      </c>
      <c r="C406" t="s">
        <v>26</v>
      </c>
      <c r="D406" t="s">
        <v>12</v>
      </c>
      <c r="E406" t="s">
        <v>10</v>
      </c>
      <c r="F406">
        <v>5</v>
      </c>
      <c r="G406">
        <v>120</v>
      </c>
      <c r="H406">
        <v>600</v>
      </c>
    </row>
    <row r="407" spans="1:8" x14ac:dyDescent="0.25">
      <c r="A407">
        <v>403</v>
      </c>
      <c r="B407" s="1">
        <v>46318</v>
      </c>
      <c r="C407" t="s">
        <v>14</v>
      </c>
      <c r="D407" t="s">
        <v>9</v>
      </c>
      <c r="E407" t="s">
        <v>20</v>
      </c>
      <c r="F407">
        <v>5</v>
      </c>
      <c r="G407">
        <v>100</v>
      </c>
      <c r="H407">
        <v>500</v>
      </c>
    </row>
    <row r="408" spans="1:8" x14ac:dyDescent="0.25">
      <c r="A408">
        <v>404</v>
      </c>
      <c r="B408" s="1">
        <v>46319</v>
      </c>
      <c r="C408" t="s">
        <v>24</v>
      </c>
      <c r="D408" t="s">
        <v>27</v>
      </c>
      <c r="E408" t="s">
        <v>20</v>
      </c>
      <c r="F408">
        <v>1</v>
      </c>
      <c r="G408">
        <v>500</v>
      </c>
      <c r="H408">
        <v>500</v>
      </c>
    </row>
    <row r="409" spans="1:8" x14ac:dyDescent="0.25">
      <c r="A409">
        <v>405</v>
      </c>
      <c r="B409" s="1">
        <v>46320</v>
      </c>
      <c r="C409" t="s">
        <v>17</v>
      </c>
      <c r="D409" t="s">
        <v>12</v>
      </c>
      <c r="E409" t="s">
        <v>10</v>
      </c>
      <c r="F409">
        <v>9</v>
      </c>
      <c r="G409">
        <v>600</v>
      </c>
      <c r="H409">
        <v>5400</v>
      </c>
    </row>
    <row r="410" spans="1:8" x14ac:dyDescent="0.25">
      <c r="A410">
        <v>406</v>
      </c>
      <c r="B410" s="1">
        <v>46321</v>
      </c>
      <c r="C410" t="s">
        <v>11</v>
      </c>
      <c r="D410" t="s">
        <v>18</v>
      </c>
      <c r="E410" t="s">
        <v>13</v>
      </c>
      <c r="F410">
        <v>8</v>
      </c>
      <c r="G410">
        <v>230</v>
      </c>
      <c r="H410">
        <v>1840</v>
      </c>
    </row>
    <row r="411" spans="1:8" x14ac:dyDescent="0.25">
      <c r="A411">
        <v>407</v>
      </c>
      <c r="B411" s="1">
        <v>46322</v>
      </c>
      <c r="C411" t="s">
        <v>24</v>
      </c>
      <c r="D411" t="s">
        <v>27</v>
      </c>
      <c r="E411" t="s">
        <v>10</v>
      </c>
      <c r="F411">
        <v>10</v>
      </c>
      <c r="G411">
        <v>230</v>
      </c>
      <c r="H411">
        <v>2300</v>
      </c>
    </row>
    <row r="412" spans="1:8" x14ac:dyDescent="0.25">
      <c r="A412">
        <v>408</v>
      </c>
      <c r="B412" s="1">
        <v>46323</v>
      </c>
      <c r="C412" t="s">
        <v>14</v>
      </c>
      <c r="D412" t="s">
        <v>9</v>
      </c>
      <c r="E412" t="s">
        <v>13</v>
      </c>
      <c r="F412">
        <v>7</v>
      </c>
      <c r="G412">
        <v>230</v>
      </c>
      <c r="H412">
        <v>1610</v>
      </c>
    </row>
    <row r="413" spans="1:8" x14ac:dyDescent="0.25">
      <c r="A413">
        <v>409</v>
      </c>
      <c r="B413" s="1">
        <v>46324</v>
      </c>
      <c r="C413" t="s">
        <v>8</v>
      </c>
      <c r="D413" t="s">
        <v>9</v>
      </c>
      <c r="E413" t="s">
        <v>10</v>
      </c>
      <c r="F413">
        <v>3</v>
      </c>
      <c r="G413">
        <v>120</v>
      </c>
      <c r="H413">
        <v>360</v>
      </c>
    </row>
    <row r="414" spans="1:8" x14ac:dyDescent="0.25">
      <c r="A414">
        <v>410</v>
      </c>
      <c r="B414" s="1">
        <v>46325</v>
      </c>
      <c r="C414" t="s">
        <v>17</v>
      </c>
      <c r="D414" t="s">
        <v>27</v>
      </c>
      <c r="E414" t="s">
        <v>16</v>
      </c>
      <c r="F414">
        <v>10</v>
      </c>
      <c r="G414">
        <v>230</v>
      </c>
      <c r="H414">
        <v>2300</v>
      </c>
    </row>
    <row r="415" spans="1:8" x14ac:dyDescent="0.25">
      <c r="A415">
        <v>411</v>
      </c>
      <c r="B415" s="1">
        <v>46326</v>
      </c>
      <c r="C415" t="s">
        <v>24</v>
      </c>
      <c r="D415" t="s">
        <v>18</v>
      </c>
      <c r="E415" t="s">
        <v>20</v>
      </c>
      <c r="F415">
        <v>2</v>
      </c>
      <c r="G415">
        <v>600</v>
      </c>
      <c r="H415">
        <v>1200</v>
      </c>
    </row>
    <row r="416" spans="1:8" x14ac:dyDescent="0.25">
      <c r="A416">
        <v>412</v>
      </c>
      <c r="B416" s="1">
        <v>46327</v>
      </c>
      <c r="C416" t="s">
        <v>19</v>
      </c>
      <c r="D416" t="s">
        <v>18</v>
      </c>
      <c r="E416" t="s">
        <v>13</v>
      </c>
      <c r="F416">
        <v>4</v>
      </c>
      <c r="G416">
        <v>8000</v>
      </c>
      <c r="H416">
        <v>32000</v>
      </c>
    </row>
    <row r="417" spans="1:8" x14ac:dyDescent="0.25">
      <c r="A417">
        <v>413</v>
      </c>
      <c r="B417" s="1">
        <v>46328</v>
      </c>
      <c r="C417" t="s">
        <v>19</v>
      </c>
      <c r="D417" t="s">
        <v>27</v>
      </c>
      <c r="E417" t="s">
        <v>28</v>
      </c>
      <c r="F417">
        <v>10</v>
      </c>
      <c r="G417">
        <v>500</v>
      </c>
      <c r="H417">
        <v>5000</v>
      </c>
    </row>
    <row r="418" spans="1:8" x14ac:dyDescent="0.25">
      <c r="A418">
        <v>414</v>
      </c>
      <c r="B418" s="1">
        <v>46329</v>
      </c>
      <c r="C418" t="s">
        <v>17</v>
      </c>
      <c r="D418" t="s">
        <v>12</v>
      </c>
      <c r="E418" t="s">
        <v>20</v>
      </c>
      <c r="F418">
        <v>6</v>
      </c>
      <c r="G418">
        <v>120</v>
      </c>
      <c r="H418">
        <v>720</v>
      </c>
    </row>
    <row r="419" spans="1:8" x14ac:dyDescent="0.25">
      <c r="A419">
        <v>415</v>
      </c>
      <c r="B419" s="1">
        <v>46330</v>
      </c>
      <c r="C419" t="s">
        <v>25</v>
      </c>
      <c r="D419" t="s">
        <v>27</v>
      </c>
      <c r="E419" t="s">
        <v>20</v>
      </c>
      <c r="F419">
        <v>1</v>
      </c>
      <c r="G419">
        <v>8000</v>
      </c>
      <c r="H419">
        <v>8000</v>
      </c>
    </row>
    <row r="420" spans="1:8" x14ac:dyDescent="0.25">
      <c r="A420">
        <v>416</v>
      </c>
      <c r="B420" s="1">
        <v>46331</v>
      </c>
      <c r="C420" t="s">
        <v>25</v>
      </c>
      <c r="D420" t="s">
        <v>9</v>
      </c>
      <c r="E420" t="s">
        <v>28</v>
      </c>
      <c r="F420">
        <v>3</v>
      </c>
      <c r="G420">
        <v>120</v>
      </c>
      <c r="H420">
        <v>360</v>
      </c>
    </row>
    <row r="421" spans="1:8" x14ac:dyDescent="0.25">
      <c r="A421">
        <v>417</v>
      </c>
      <c r="B421" s="1">
        <v>46332</v>
      </c>
      <c r="C421" t="s">
        <v>19</v>
      </c>
      <c r="D421" t="s">
        <v>9</v>
      </c>
      <c r="E421" t="s">
        <v>15</v>
      </c>
      <c r="F421">
        <v>9</v>
      </c>
      <c r="G421">
        <v>100</v>
      </c>
      <c r="H421">
        <v>900</v>
      </c>
    </row>
    <row r="422" spans="1:8" x14ac:dyDescent="0.25">
      <c r="A422">
        <v>418</v>
      </c>
      <c r="B422" s="1">
        <v>46333</v>
      </c>
      <c r="C422" t="s">
        <v>25</v>
      </c>
      <c r="D422" t="s">
        <v>18</v>
      </c>
      <c r="E422" t="s">
        <v>20</v>
      </c>
      <c r="F422">
        <v>6</v>
      </c>
      <c r="G422">
        <v>100</v>
      </c>
      <c r="H422">
        <v>600</v>
      </c>
    </row>
    <row r="423" spans="1:8" x14ac:dyDescent="0.25">
      <c r="A423">
        <v>419</v>
      </c>
      <c r="B423" s="1">
        <v>46334</v>
      </c>
      <c r="C423" t="s">
        <v>8</v>
      </c>
      <c r="D423" t="s">
        <v>9</v>
      </c>
      <c r="E423" t="s">
        <v>28</v>
      </c>
      <c r="F423">
        <v>2</v>
      </c>
      <c r="G423">
        <v>500</v>
      </c>
      <c r="H423">
        <v>1000</v>
      </c>
    </row>
    <row r="424" spans="1:8" x14ac:dyDescent="0.25">
      <c r="A424">
        <v>420</v>
      </c>
      <c r="B424" s="1">
        <v>46335</v>
      </c>
      <c r="C424" t="s">
        <v>19</v>
      </c>
      <c r="D424" t="s">
        <v>27</v>
      </c>
      <c r="E424" t="s">
        <v>16</v>
      </c>
      <c r="F424">
        <v>4</v>
      </c>
      <c r="G424">
        <v>500</v>
      </c>
      <c r="H424">
        <v>2000</v>
      </c>
    </row>
    <row r="425" spans="1:8" x14ac:dyDescent="0.25">
      <c r="A425">
        <v>421</v>
      </c>
      <c r="B425" s="1">
        <v>46336</v>
      </c>
      <c r="C425" t="s">
        <v>23</v>
      </c>
      <c r="D425" t="s">
        <v>18</v>
      </c>
      <c r="E425" t="s">
        <v>10</v>
      </c>
      <c r="F425">
        <v>6</v>
      </c>
      <c r="G425">
        <v>100</v>
      </c>
      <c r="H425">
        <v>600</v>
      </c>
    </row>
    <row r="426" spans="1:8" x14ac:dyDescent="0.25">
      <c r="A426">
        <v>422</v>
      </c>
      <c r="B426" s="1">
        <v>46337</v>
      </c>
      <c r="C426" t="s">
        <v>25</v>
      </c>
      <c r="D426" t="s">
        <v>27</v>
      </c>
      <c r="E426" t="s">
        <v>10</v>
      </c>
      <c r="F426">
        <v>6</v>
      </c>
      <c r="G426">
        <v>600</v>
      </c>
      <c r="H426">
        <v>3600</v>
      </c>
    </row>
    <row r="427" spans="1:8" x14ac:dyDescent="0.25">
      <c r="A427">
        <v>423</v>
      </c>
      <c r="B427" s="1">
        <v>46338</v>
      </c>
      <c r="C427" t="s">
        <v>19</v>
      </c>
      <c r="D427" t="s">
        <v>12</v>
      </c>
      <c r="E427" t="s">
        <v>13</v>
      </c>
      <c r="F427">
        <v>3</v>
      </c>
      <c r="G427">
        <v>500</v>
      </c>
      <c r="H427">
        <v>1500</v>
      </c>
    </row>
    <row r="428" spans="1:8" x14ac:dyDescent="0.25">
      <c r="A428">
        <v>424</v>
      </c>
      <c r="B428" s="1">
        <v>46339</v>
      </c>
      <c r="C428" t="s">
        <v>24</v>
      </c>
      <c r="D428" t="s">
        <v>18</v>
      </c>
      <c r="E428" t="s">
        <v>10</v>
      </c>
      <c r="F428">
        <v>10</v>
      </c>
      <c r="G428">
        <v>120</v>
      </c>
      <c r="H428">
        <v>1200</v>
      </c>
    </row>
    <row r="429" spans="1:8" x14ac:dyDescent="0.25">
      <c r="A429">
        <v>425</v>
      </c>
      <c r="B429" s="1">
        <v>46340</v>
      </c>
      <c r="C429" t="s">
        <v>17</v>
      </c>
      <c r="D429" t="s">
        <v>18</v>
      </c>
      <c r="E429" t="s">
        <v>10</v>
      </c>
      <c r="F429">
        <v>2</v>
      </c>
      <c r="G429">
        <v>8000</v>
      </c>
      <c r="H429">
        <v>16000</v>
      </c>
    </row>
    <row r="430" spans="1:8" x14ac:dyDescent="0.25">
      <c r="A430">
        <v>426</v>
      </c>
      <c r="B430" s="1">
        <v>46341</v>
      </c>
      <c r="C430" t="s">
        <v>19</v>
      </c>
      <c r="D430" t="s">
        <v>9</v>
      </c>
      <c r="E430" t="s">
        <v>10</v>
      </c>
      <c r="F430">
        <v>1</v>
      </c>
      <c r="G430">
        <v>230</v>
      </c>
      <c r="H430">
        <v>230</v>
      </c>
    </row>
    <row r="431" spans="1:8" x14ac:dyDescent="0.25">
      <c r="A431">
        <v>427</v>
      </c>
      <c r="B431" s="1">
        <v>46342</v>
      </c>
      <c r="C431" t="s">
        <v>25</v>
      </c>
      <c r="D431" t="s">
        <v>18</v>
      </c>
      <c r="E431" t="s">
        <v>13</v>
      </c>
      <c r="F431">
        <v>8</v>
      </c>
      <c r="G431">
        <v>600</v>
      </c>
      <c r="H431">
        <v>4800</v>
      </c>
    </row>
    <row r="432" spans="1:8" x14ac:dyDescent="0.25">
      <c r="A432">
        <v>428</v>
      </c>
      <c r="B432" s="1">
        <v>46343</v>
      </c>
      <c r="C432" t="s">
        <v>23</v>
      </c>
      <c r="D432" t="s">
        <v>9</v>
      </c>
      <c r="E432" t="s">
        <v>28</v>
      </c>
      <c r="F432">
        <v>4</v>
      </c>
      <c r="G432">
        <v>50</v>
      </c>
      <c r="H432">
        <v>200</v>
      </c>
    </row>
    <row r="433" spans="1:8" x14ac:dyDescent="0.25">
      <c r="A433">
        <v>429</v>
      </c>
      <c r="B433" s="1">
        <v>46344</v>
      </c>
      <c r="C433" t="s">
        <v>25</v>
      </c>
      <c r="D433" t="s">
        <v>12</v>
      </c>
      <c r="E433" t="s">
        <v>10</v>
      </c>
      <c r="F433">
        <v>3</v>
      </c>
      <c r="G433">
        <v>600</v>
      </c>
      <c r="H433">
        <v>1800</v>
      </c>
    </row>
    <row r="434" spans="1:8" x14ac:dyDescent="0.25">
      <c r="A434">
        <v>430</v>
      </c>
      <c r="B434" s="1">
        <v>46345</v>
      </c>
      <c r="C434" t="s">
        <v>25</v>
      </c>
      <c r="D434" t="s">
        <v>27</v>
      </c>
      <c r="E434" t="s">
        <v>22</v>
      </c>
      <c r="F434">
        <v>6</v>
      </c>
      <c r="G434">
        <v>100</v>
      </c>
      <c r="H434">
        <v>600</v>
      </c>
    </row>
    <row r="435" spans="1:8" x14ac:dyDescent="0.25">
      <c r="A435">
        <v>431</v>
      </c>
      <c r="B435" s="1">
        <v>46346</v>
      </c>
      <c r="C435" t="s">
        <v>21</v>
      </c>
      <c r="D435" t="s">
        <v>12</v>
      </c>
      <c r="E435" t="s">
        <v>13</v>
      </c>
      <c r="F435">
        <v>8</v>
      </c>
      <c r="G435">
        <v>500</v>
      </c>
      <c r="H435">
        <v>4000</v>
      </c>
    </row>
    <row r="436" spans="1:8" x14ac:dyDescent="0.25">
      <c r="A436">
        <v>432</v>
      </c>
      <c r="B436" s="1">
        <v>46347</v>
      </c>
      <c r="C436" t="s">
        <v>19</v>
      </c>
      <c r="D436" t="s">
        <v>27</v>
      </c>
      <c r="E436" t="s">
        <v>16</v>
      </c>
      <c r="F436">
        <v>7</v>
      </c>
      <c r="G436">
        <v>230</v>
      </c>
      <c r="H436">
        <v>1610</v>
      </c>
    </row>
    <row r="437" spans="1:8" x14ac:dyDescent="0.25">
      <c r="A437">
        <v>433</v>
      </c>
      <c r="B437" s="1">
        <v>46348</v>
      </c>
      <c r="C437" t="s">
        <v>8</v>
      </c>
      <c r="D437" t="s">
        <v>27</v>
      </c>
      <c r="E437" t="s">
        <v>16</v>
      </c>
      <c r="F437">
        <v>7</v>
      </c>
      <c r="G437">
        <v>230</v>
      </c>
      <c r="H437">
        <v>1610</v>
      </c>
    </row>
    <row r="438" spans="1:8" x14ac:dyDescent="0.25">
      <c r="A438">
        <v>434</v>
      </c>
      <c r="B438" s="1">
        <v>46349</v>
      </c>
      <c r="C438" t="s">
        <v>11</v>
      </c>
      <c r="D438" t="s">
        <v>9</v>
      </c>
      <c r="E438" t="s">
        <v>10</v>
      </c>
      <c r="F438">
        <v>3</v>
      </c>
      <c r="G438">
        <v>500</v>
      </c>
      <c r="H438">
        <v>1500</v>
      </c>
    </row>
    <row r="439" spans="1:8" x14ac:dyDescent="0.25">
      <c r="A439">
        <v>435</v>
      </c>
      <c r="B439" s="1">
        <v>46350</v>
      </c>
      <c r="C439" t="s">
        <v>19</v>
      </c>
      <c r="D439" t="s">
        <v>9</v>
      </c>
      <c r="E439" t="s">
        <v>10</v>
      </c>
      <c r="F439">
        <v>10</v>
      </c>
      <c r="G439">
        <v>230</v>
      </c>
      <c r="H439">
        <v>2300</v>
      </c>
    </row>
    <row r="440" spans="1:8" x14ac:dyDescent="0.25">
      <c r="A440">
        <v>436</v>
      </c>
      <c r="B440" s="1">
        <v>46351</v>
      </c>
      <c r="C440" t="s">
        <v>14</v>
      </c>
      <c r="D440" t="s">
        <v>12</v>
      </c>
      <c r="E440" t="s">
        <v>13</v>
      </c>
      <c r="F440">
        <v>2</v>
      </c>
      <c r="G440">
        <v>230</v>
      </c>
      <c r="H440">
        <v>460</v>
      </c>
    </row>
    <row r="441" spans="1:8" x14ac:dyDescent="0.25">
      <c r="A441">
        <v>437</v>
      </c>
      <c r="B441" s="1">
        <v>46352</v>
      </c>
      <c r="C441" t="s">
        <v>14</v>
      </c>
      <c r="D441" t="s">
        <v>9</v>
      </c>
      <c r="E441" t="s">
        <v>15</v>
      </c>
      <c r="F441">
        <v>7</v>
      </c>
      <c r="G441">
        <v>8000</v>
      </c>
      <c r="H441">
        <v>56000</v>
      </c>
    </row>
    <row r="442" spans="1:8" x14ac:dyDescent="0.25">
      <c r="A442">
        <v>438</v>
      </c>
      <c r="B442" s="1">
        <v>46353</v>
      </c>
      <c r="C442" t="s">
        <v>24</v>
      </c>
      <c r="D442" t="s">
        <v>12</v>
      </c>
      <c r="E442" t="s">
        <v>15</v>
      </c>
      <c r="F442">
        <v>8</v>
      </c>
      <c r="G442">
        <v>100</v>
      </c>
      <c r="H442">
        <v>800</v>
      </c>
    </row>
    <row r="443" spans="1:8" x14ac:dyDescent="0.25">
      <c r="A443">
        <v>439</v>
      </c>
      <c r="B443" s="1">
        <v>46354</v>
      </c>
      <c r="C443" t="s">
        <v>19</v>
      </c>
      <c r="D443" t="s">
        <v>9</v>
      </c>
      <c r="E443" t="s">
        <v>15</v>
      </c>
      <c r="F443">
        <v>10</v>
      </c>
      <c r="G443">
        <v>50</v>
      </c>
      <c r="H443">
        <v>500</v>
      </c>
    </row>
    <row r="444" spans="1:8" x14ac:dyDescent="0.25">
      <c r="A444">
        <v>440</v>
      </c>
      <c r="B444" s="1">
        <v>46355</v>
      </c>
      <c r="C444" t="s">
        <v>19</v>
      </c>
      <c r="D444" t="s">
        <v>12</v>
      </c>
      <c r="E444" t="s">
        <v>28</v>
      </c>
      <c r="F444">
        <v>5</v>
      </c>
      <c r="G444">
        <v>600</v>
      </c>
      <c r="H444">
        <v>3000</v>
      </c>
    </row>
    <row r="445" spans="1:8" x14ac:dyDescent="0.25">
      <c r="A445">
        <v>441</v>
      </c>
      <c r="B445" s="1">
        <v>46356</v>
      </c>
      <c r="C445" t="s">
        <v>14</v>
      </c>
      <c r="D445" t="s">
        <v>18</v>
      </c>
      <c r="E445" t="s">
        <v>20</v>
      </c>
      <c r="F445">
        <v>3</v>
      </c>
      <c r="G445">
        <v>230</v>
      </c>
      <c r="H445">
        <v>690</v>
      </c>
    </row>
    <row r="446" spans="1:8" x14ac:dyDescent="0.25">
      <c r="A446">
        <v>442</v>
      </c>
      <c r="B446" s="1">
        <v>46357</v>
      </c>
      <c r="C446" t="s">
        <v>8</v>
      </c>
      <c r="D446" t="s">
        <v>27</v>
      </c>
      <c r="E446" t="s">
        <v>22</v>
      </c>
      <c r="F446">
        <v>6</v>
      </c>
      <c r="G446">
        <v>120</v>
      </c>
      <c r="H446">
        <v>720</v>
      </c>
    </row>
    <row r="447" spans="1:8" x14ac:dyDescent="0.25">
      <c r="A447">
        <v>443</v>
      </c>
      <c r="B447" s="1">
        <v>46358</v>
      </c>
      <c r="C447" t="s">
        <v>26</v>
      </c>
      <c r="D447" t="s">
        <v>9</v>
      </c>
      <c r="E447" t="s">
        <v>15</v>
      </c>
      <c r="F447">
        <v>8</v>
      </c>
      <c r="G447">
        <v>120</v>
      </c>
      <c r="H447">
        <v>960</v>
      </c>
    </row>
    <row r="448" spans="1:8" x14ac:dyDescent="0.25">
      <c r="A448">
        <v>444</v>
      </c>
      <c r="B448" s="1">
        <v>46359</v>
      </c>
      <c r="C448" t="s">
        <v>11</v>
      </c>
      <c r="D448" t="s">
        <v>18</v>
      </c>
      <c r="E448" t="s">
        <v>20</v>
      </c>
      <c r="F448">
        <v>4</v>
      </c>
      <c r="G448">
        <v>50</v>
      </c>
      <c r="H448">
        <v>200</v>
      </c>
    </row>
    <row r="449" spans="1:8" x14ac:dyDescent="0.25">
      <c r="A449">
        <v>445</v>
      </c>
      <c r="B449" s="1">
        <v>46360</v>
      </c>
      <c r="C449" t="s">
        <v>17</v>
      </c>
      <c r="D449" t="s">
        <v>27</v>
      </c>
      <c r="E449" t="s">
        <v>20</v>
      </c>
      <c r="F449">
        <v>1</v>
      </c>
      <c r="G449">
        <v>230</v>
      </c>
      <c r="H449">
        <v>230</v>
      </c>
    </row>
    <row r="450" spans="1:8" x14ac:dyDescent="0.25">
      <c r="A450">
        <v>446</v>
      </c>
      <c r="B450" s="1">
        <v>46361</v>
      </c>
      <c r="C450" t="s">
        <v>23</v>
      </c>
      <c r="D450" t="s">
        <v>18</v>
      </c>
      <c r="E450" t="s">
        <v>22</v>
      </c>
      <c r="F450">
        <v>7</v>
      </c>
      <c r="G450">
        <v>500</v>
      </c>
      <c r="H450">
        <v>3500</v>
      </c>
    </row>
    <row r="451" spans="1:8" x14ac:dyDescent="0.25">
      <c r="A451">
        <v>447</v>
      </c>
      <c r="B451" s="1">
        <v>46362</v>
      </c>
      <c r="C451" t="s">
        <v>8</v>
      </c>
      <c r="D451" t="s">
        <v>9</v>
      </c>
      <c r="E451" t="s">
        <v>13</v>
      </c>
      <c r="F451">
        <v>10</v>
      </c>
      <c r="G451">
        <v>120</v>
      </c>
      <c r="H451">
        <v>1200</v>
      </c>
    </row>
    <row r="452" spans="1:8" x14ac:dyDescent="0.25">
      <c r="A452">
        <v>448</v>
      </c>
      <c r="B452" s="1">
        <v>46363</v>
      </c>
      <c r="C452" t="s">
        <v>19</v>
      </c>
      <c r="D452" t="s">
        <v>12</v>
      </c>
      <c r="E452" t="s">
        <v>10</v>
      </c>
      <c r="F452">
        <v>8</v>
      </c>
      <c r="G452">
        <v>120</v>
      </c>
      <c r="H452">
        <v>960</v>
      </c>
    </row>
    <row r="453" spans="1:8" x14ac:dyDescent="0.25">
      <c r="A453">
        <v>449</v>
      </c>
      <c r="B453" s="1">
        <v>46364</v>
      </c>
      <c r="C453" t="s">
        <v>26</v>
      </c>
      <c r="D453" t="s">
        <v>9</v>
      </c>
      <c r="E453" t="s">
        <v>13</v>
      </c>
      <c r="F453">
        <v>4</v>
      </c>
      <c r="G453">
        <v>120</v>
      </c>
      <c r="H453">
        <v>480</v>
      </c>
    </row>
    <row r="454" spans="1:8" x14ac:dyDescent="0.25">
      <c r="A454">
        <v>450</v>
      </c>
      <c r="B454" s="1">
        <v>46365</v>
      </c>
      <c r="C454" t="s">
        <v>25</v>
      </c>
      <c r="D454" t="s">
        <v>9</v>
      </c>
      <c r="E454" t="s">
        <v>16</v>
      </c>
      <c r="F454">
        <v>9</v>
      </c>
      <c r="G454">
        <v>8000</v>
      </c>
      <c r="H454">
        <v>72000</v>
      </c>
    </row>
    <row r="455" spans="1:8" x14ac:dyDescent="0.25">
      <c r="A455">
        <v>451</v>
      </c>
      <c r="B455" s="1">
        <v>46366</v>
      </c>
      <c r="C455" t="s">
        <v>8</v>
      </c>
      <c r="D455" t="s">
        <v>12</v>
      </c>
      <c r="E455" t="s">
        <v>28</v>
      </c>
      <c r="F455">
        <v>4</v>
      </c>
      <c r="G455">
        <v>8000</v>
      </c>
      <c r="H455">
        <v>32000</v>
      </c>
    </row>
    <row r="456" spans="1:8" x14ac:dyDescent="0.25">
      <c r="A456">
        <v>452</v>
      </c>
      <c r="B456" s="1">
        <v>46367</v>
      </c>
      <c r="C456" t="s">
        <v>11</v>
      </c>
      <c r="D456" t="s">
        <v>27</v>
      </c>
      <c r="E456" t="s">
        <v>28</v>
      </c>
      <c r="F456">
        <v>3</v>
      </c>
      <c r="G456">
        <v>100</v>
      </c>
      <c r="H456">
        <v>300</v>
      </c>
    </row>
    <row r="457" spans="1:8" x14ac:dyDescent="0.25">
      <c r="A457">
        <v>453</v>
      </c>
      <c r="B457" s="1">
        <v>46368</v>
      </c>
      <c r="C457" t="s">
        <v>19</v>
      </c>
      <c r="D457" t="s">
        <v>27</v>
      </c>
      <c r="E457" t="s">
        <v>13</v>
      </c>
      <c r="F457">
        <v>5</v>
      </c>
      <c r="G457">
        <v>600</v>
      </c>
      <c r="H457">
        <v>3000</v>
      </c>
    </row>
    <row r="458" spans="1:8" x14ac:dyDescent="0.25">
      <c r="A458">
        <v>454</v>
      </c>
      <c r="B458" s="1">
        <v>46369</v>
      </c>
      <c r="C458" t="s">
        <v>23</v>
      </c>
      <c r="D458" t="s">
        <v>27</v>
      </c>
      <c r="E458" t="s">
        <v>13</v>
      </c>
      <c r="F458">
        <v>5</v>
      </c>
      <c r="G458">
        <v>500</v>
      </c>
      <c r="H458">
        <v>2500</v>
      </c>
    </row>
    <row r="459" spans="1:8" x14ac:dyDescent="0.25">
      <c r="A459">
        <v>455</v>
      </c>
      <c r="B459" s="1">
        <v>46370</v>
      </c>
      <c r="C459" t="s">
        <v>24</v>
      </c>
      <c r="D459" t="s">
        <v>12</v>
      </c>
      <c r="E459" t="s">
        <v>15</v>
      </c>
      <c r="F459">
        <v>9</v>
      </c>
      <c r="G459">
        <v>100</v>
      </c>
      <c r="H459">
        <v>900</v>
      </c>
    </row>
    <row r="460" spans="1:8" x14ac:dyDescent="0.25">
      <c r="A460">
        <v>456</v>
      </c>
      <c r="B460" s="1">
        <v>46371</v>
      </c>
      <c r="C460" t="s">
        <v>11</v>
      </c>
      <c r="D460" t="s">
        <v>18</v>
      </c>
      <c r="E460" t="s">
        <v>10</v>
      </c>
      <c r="F460">
        <v>4</v>
      </c>
      <c r="G460">
        <v>230</v>
      </c>
      <c r="H460">
        <v>920</v>
      </c>
    </row>
    <row r="461" spans="1:8" x14ac:dyDescent="0.25">
      <c r="A461">
        <v>457</v>
      </c>
      <c r="B461" s="1">
        <v>46372</v>
      </c>
      <c r="C461" t="s">
        <v>26</v>
      </c>
      <c r="D461" t="s">
        <v>9</v>
      </c>
      <c r="E461" t="s">
        <v>22</v>
      </c>
      <c r="F461">
        <v>10</v>
      </c>
      <c r="G461">
        <v>230</v>
      </c>
      <c r="H461">
        <v>2300</v>
      </c>
    </row>
    <row r="462" spans="1:8" x14ac:dyDescent="0.25">
      <c r="A462">
        <v>458</v>
      </c>
      <c r="B462" s="1">
        <v>46373</v>
      </c>
      <c r="C462" t="s">
        <v>23</v>
      </c>
      <c r="D462" t="s">
        <v>18</v>
      </c>
      <c r="E462" t="s">
        <v>16</v>
      </c>
      <c r="F462">
        <v>6</v>
      </c>
      <c r="G462">
        <v>50</v>
      </c>
      <c r="H462">
        <v>300</v>
      </c>
    </row>
    <row r="463" spans="1:8" x14ac:dyDescent="0.25">
      <c r="A463">
        <v>459</v>
      </c>
      <c r="B463" s="1">
        <v>46374</v>
      </c>
      <c r="C463" t="s">
        <v>24</v>
      </c>
      <c r="D463" t="s">
        <v>9</v>
      </c>
      <c r="E463" t="s">
        <v>20</v>
      </c>
      <c r="F463">
        <v>6</v>
      </c>
      <c r="G463">
        <v>230</v>
      </c>
      <c r="H463">
        <v>1380</v>
      </c>
    </row>
    <row r="464" spans="1:8" x14ac:dyDescent="0.25">
      <c r="A464">
        <v>460</v>
      </c>
      <c r="B464" s="1">
        <v>46375</v>
      </c>
      <c r="C464" t="s">
        <v>24</v>
      </c>
      <c r="D464" t="s">
        <v>18</v>
      </c>
      <c r="E464" t="s">
        <v>15</v>
      </c>
      <c r="F464">
        <v>4</v>
      </c>
      <c r="G464">
        <v>8000</v>
      </c>
      <c r="H464">
        <v>32000</v>
      </c>
    </row>
    <row r="465" spans="1:8" x14ac:dyDescent="0.25">
      <c r="A465">
        <v>461</v>
      </c>
      <c r="B465" s="1">
        <v>46376</v>
      </c>
      <c r="C465" t="s">
        <v>8</v>
      </c>
      <c r="D465" t="s">
        <v>12</v>
      </c>
      <c r="E465" t="s">
        <v>15</v>
      </c>
      <c r="F465">
        <v>8</v>
      </c>
      <c r="G465">
        <v>120</v>
      </c>
      <c r="H465">
        <v>960</v>
      </c>
    </row>
    <row r="466" spans="1:8" x14ac:dyDescent="0.25">
      <c r="A466">
        <v>462</v>
      </c>
      <c r="B466" s="1">
        <v>46377</v>
      </c>
      <c r="C466" t="s">
        <v>21</v>
      </c>
      <c r="D466" t="s">
        <v>12</v>
      </c>
      <c r="E466" t="s">
        <v>13</v>
      </c>
      <c r="F466">
        <v>8</v>
      </c>
      <c r="G466">
        <v>50</v>
      </c>
      <c r="H466">
        <v>400</v>
      </c>
    </row>
    <row r="467" spans="1:8" x14ac:dyDescent="0.25">
      <c r="A467">
        <v>463</v>
      </c>
      <c r="B467" s="1">
        <v>46378</v>
      </c>
      <c r="C467" t="s">
        <v>14</v>
      </c>
      <c r="D467" t="s">
        <v>27</v>
      </c>
      <c r="E467" t="s">
        <v>16</v>
      </c>
      <c r="F467">
        <v>1</v>
      </c>
      <c r="G467">
        <v>600</v>
      </c>
      <c r="H467">
        <v>600</v>
      </c>
    </row>
    <row r="468" spans="1:8" x14ac:dyDescent="0.25">
      <c r="A468">
        <v>464</v>
      </c>
      <c r="B468" s="1">
        <v>46379</v>
      </c>
      <c r="C468" t="s">
        <v>8</v>
      </c>
      <c r="D468" t="s">
        <v>27</v>
      </c>
      <c r="E468" t="s">
        <v>13</v>
      </c>
      <c r="F468">
        <v>2</v>
      </c>
      <c r="G468">
        <v>50</v>
      </c>
      <c r="H468">
        <v>100</v>
      </c>
    </row>
    <row r="469" spans="1:8" x14ac:dyDescent="0.25">
      <c r="A469">
        <v>465</v>
      </c>
      <c r="B469" s="1">
        <v>46380</v>
      </c>
      <c r="C469" t="s">
        <v>23</v>
      </c>
      <c r="D469" t="s">
        <v>18</v>
      </c>
      <c r="E469" t="s">
        <v>22</v>
      </c>
      <c r="F469">
        <v>3</v>
      </c>
      <c r="G469">
        <v>600</v>
      </c>
      <c r="H469">
        <v>1800</v>
      </c>
    </row>
    <row r="470" spans="1:8" x14ac:dyDescent="0.25">
      <c r="A470">
        <v>466</v>
      </c>
      <c r="B470" s="1">
        <v>46381</v>
      </c>
      <c r="C470" t="s">
        <v>23</v>
      </c>
      <c r="D470" t="s">
        <v>9</v>
      </c>
      <c r="E470" t="s">
        <v>15</v>
      </c>
      <c r="F470">
        <v>9</v>
      </c>
      <c r="G470">
        <v>500</v>
      </c>
      <c r="H470">
        <v>4500</v>
      </c>
    </row>
    <row r="471" spans="1:8" x14ac:dyDescent="0.25">
      <c r="A471">
        <v>467</v>
      </c>
      <c r="B471" s="1">
        <v>46382</v>
      </c>
      <c r="C471" t="s">
        <v>26</v>
      </c>
      <c r="D471" t="s">
        <v>12</v>
      </c>
      <c r="E471" t="s">
        <v>20</v>
      </c>
      <c r="F471">
        <v>8</v>
      </c>
      <c r="G471">
        <v>230</v>
      </c>
      <c r="H471">
        <v>1840</v>
      </c>
    </row>
    <row r="472" spans="1:8" x14ac:dyDescent="0.25">
      <c r="A472">
        <v>468</v>
      </c>
      <c r="B472" s="1">
        <v>46383</v>
      </c>
      <c r="C472" t="s">
        <v>23</v>
      </c>
      <c r="D472" t="s">
        <v>12</v>
      </c>
      <c r="E472" t="s">
        <v>20</v>
      </c>
      <c r="F472">
        <v>9</v>
      </c>
      <c r="G472">
        <v>230</v>
      </c>
      <c r="H472">
        <v>2070</v>
      </c>
    </row>
    <row r="473" spans="1:8" x14ac:dyDescent="0.25">
      <c r="A473">
        <v>469</v>
      </c>
      <c r="B473" s="1">
        <v>46384</v>
      </c>
      <c r="C473" t="s">
        <v>11</v>
      </c>
      <c r="D473" t="s">
        <v>12</v>
      </c>
      <c r="E473" t="s">
        <v>20</v>
      </c>
      <c r="F473">
        <v>9</v>
      </c>
      <c r="G473">
        <v>500</v>
      </c>
      <c r="H473">
        <v>4500</v>
      </c>
    </row>
    <row r="474" spans="1:8" x14ac:dyDescent="0.25">
      <c r="A474">
        <v>470</v>
      </c>
      <c r="B474" s="1">
        <v>46385</v>
      </c>
      <c r="C474" t="s">
        <v>11</v>
      </c>
      <c r="D474" t="s">
        <v>12</v>
      </c>
      <c r="E474" t="s">
        <v>16</v>
      </c>
      <c r="F474">
        <v>3</v>
      </c>
      <c r="G474">
        <v>50</v>
      </c>
      <c r="H474">
        <v>150</v>
      </c>
    </row>
    <row r="475" spans="1:8" x14ac:dyDescent="0.25">
      <c r="A475">
        <v>471</v>
      </c>
      <c r="B475" s="1">
        <v>46386</v>
      </c>
      <c r="C475" t="s">
        <v>14</v>
      </c>
      <c r="D475" t="s">
        <v>27</v>
      </c>
      <c r="E475" t="s">
        <v>10</v>
      </c>
      <c r="F475">
        <v>5</v>
      </c>
      <c r="G475">
        <v>50</v>
      </c>
      <c r="H475">
        <v>250</v>
      </c>
    </row>
    <row r="476" spans="1:8" x14ac:dyDescent="0.25">
      <c r="A476">
        <v>472</v>
      </c>
      <c r="B476" s="1">
        <v>46387</v>
      </c>
      <c r="C476" t="s">
        <v>8</v>
      </c>
      <c r="D476" t="s">
        <v>18</v>
      </c>
      <c r="E476" t="s">
        <v>10</v>
      </c>
      <c r="F476">
        <v>3</v>
      </c>
      <c r="G476">
        <v>230</v>
      </c>
      <c r="H476">
        <v>690</v>
      </c>
    </row>
    <row r="477" spans="1:8" x14ac:dyDescent="0.25">
      <c r="A477">
        <v>473</v>
      </c>
      <c r="B477" s="1">
        <v>46388</v>
      </c>
      <c r="C477" t="s">
        <v>17</v>
      </c>
      <c r="D477" t="s">
        <v>18</v>
      </c>
      <c r="E477" t="s">
        <v>16</v>
      </c>
      <c r="F477">
        <v>3</v>
      </c>
      <c r="G477">
        <v>8000</v>
      </c>
      <c r="H477">
        <v>24000</v>
      </c>
    </row>
    <row r="478" spans="1:8" x14ac:dyDescent="0.25">
      <c r="A478">
        <v>474</v>
      </c>
      <c r="B478" s="1">
        <v>46389</v>
      </c>
      <c r="C478" t="s">
        <v>11</v>
      </c>
      <c r="D478" t="s">
        <v>27</v>
      </c>
      <c r="E478" t="s">
        <v>20</v>
      </c>
      <c r="F478">
        <v>7</v>
      </c>
      <c r="G478">
        <v>230</v>
      </c>
      <c r="H478">
        <v>1610</v>
      </c>
    </row>
    <row r="479" spans="1:8" x14ac:dyDescent="0.25">
      <c r="A479">
        <v>475</v>
      </c>
      <c r="B479" s="1">
        <v>46390</v>
      </c>
      <c r="C479" t="s">
        <v>19</v>
      </c>
      <c r="D479" t="s">
        <v>27</v>
      </c>
      <c r="E479" t="s">
        <v>28</v>
      </c>
      <c r="F479">
        <v>8</v>
      </c>
      <c r="G479">
        <v>120</v>
      </c>
      <c r="H479">
        <v>960</v>
      </c>
    </row>
    <row r="480" spans="1:8" x14ac:dyDescent="0.25">
      <c r="A480">
        <v>476</v>
      </c>
      <c r="B480" s="1">
        <v>46391</v>
      </c>
      <c r="C480" t="s">
        <v>11</v>
      </c>
      <c r="D480" t="s">
        <v>18</v>
      </c>
      <c r="E480" t="s">
        <v>15</v>
      </c>
      <c r="F480">
        <v>8</v>
      </c>
      <c r="G480">
        <v>500</v>
      </c>
      <c r="H480">
        <v>4000</v>
      </c>
    </row>
    <row r="481" spans="1:8" x14ac:dyDescent="0.25">
      <c r="A481">
        <v>477</v>
      </c>
      <c r="B481" s="1">
        <v>46392</v>
      </c>
      <c r="C481" t="s">
        <v>17</v>
      </c>
      <c r="D481" t="s">
        <v>18</v>
      </c>
      <c r="E481" t="s">
        <v>10</v>
      </c>
      <c r="F481">
        <v>1</v>
      </c>
      <c r="G481">
        <v>8000</v>
      </c>
      <c r="H481">
        <v>8000</v>
      </c>
    </row>
    <row r="482" spans="1:8" x14ac:dyDescent="0.25">
      <c r="A482">
        <v>478</v>
      </c>
      <c r="B482" s="1">
        <v>46393</v>
      </c>
      <c r="C482" t="s">
        <v>11</v>
      </c>
      <c r="D482" t="s">
        <v>12</v>
      </c>
      <c r="E482" t="s">
        <v>28</v>
      </c>
      <c r="F482">
        <v>7</v>
      </c>
      <c r="G482">
        <v>50</v>
      </c>
      <c r="H482">
        <v>350</v>
      </c>
    </row>
    <row r="483" spans="1:8" x14ac:dyDescent="0.25">
      <c r="A483">
        <v>479</v>
      </c>
      <c r="B483" s="1">
        <v>46394</v>
      </c>
      <c r="C483" t="s">
        <v>14</v>
      </c>
      <c r="D483" t="s">
        <v>18</v>
      </c>
      <c r="E483" t="s">
        <v>10</v>
      </c>
      <c r="F483">
        <v>3</v>
      </c>
      <c r="G483">
        <v>600</v>
      </c>
      <c r="H483">
        <v>1800</v>
      </c>
    </row>
    <row r="484" spans="1:8" x14ac:dyDescent="0.25">
      <c r="A484">
        <v>480</v>
      </c>
      <c r="B484" s="1">
        <v>46395</v>
      </c>
      <c r="C484" t="s">
        <v>23</v>
      </c>
      <c r="D484" t="s">
        <v>18</v>
      </c>
      <c r="E484" t="s">
        <v>16</v>
      </c>
      <c r="F484">
        <v>5</v>
      </c>
      <c r="G484">
        <v>500</v>
      </c>
      <c r="H484">
        <v>2500</v>
      </c>
    </row>
    <row r="485" spans="1:8" x14ac:dyDescent="0.25">
      <c r="A485">
        <v>481</v>
      </c>
      <c r="B485" s="1">
        <v>46396</v>
      </c>
      <c r="C485" t="s">
        <v>26</v>
      </c>
      <c r="D485" t="s">
        <v>18</v>
      </c>
      <c r="E485" t="s">
        <v>13</v>
      </c>
      <c r="F485">
        <v>7</v>
      </c>
      <c r="G485">
        <v>100</v>
      </c>
      <c r="H485">
        <v>700</v>
      </c>
    </row>
    <row r="486" spans="1:8" x14ac:dyDescent="0.25">
      <c r="A486">
        <v>482</v>
      </c>
      <c r="B486" s="1">
        <v>46397</v>
      </c>
      <c r="C486" t="s">
        <v>26</v>
      </c>
      <c r="D486" t="s">
        <v>12</v>
      </c>
      <c r="E486" t="s">
        <v>13</v>
      </c>
      <c r="F486">
        <v>4</v>
      </c>
      <c r="G486">
        <v>230</v>
      </c>
      <c r="H486">
        <v>920</v>
      </c>
    </row>
    <row r="487" spans="1:8" x14ac:dyDescent="0.25">
      <c r="A487">
        <v>483</v>
      </c>
      <c r="B487" s="1">
        <v>46398</v>
      </c>
      <c r="C487" t="s">
        <v>11</v>
      </c>
      <c r="D487" t="s">
        <v>18</v>
      </c>
      <c r="E487" t="s">
        <v>15</v>
      </c>
      <c r="F487">
        <v>5</v>
      </c>
      <c r="G487">
        <v>600</v>
      </c>
      <c r="H487">
        <v>3000</v>
      </c>
    </row>
    <row r="488" spans="1:8" x14ac:dyDescent="0.25">
      <c r="A488">
        <v>484</v>
      </c>
      <c r="B488" s="1">
        <v>46399</v>
      </c>
      <c r="C488" t="s">
        <v>19</v>
      </c>
      <c r="D488" t="s">
        <v>27</v>
      </c>
      <c r="E488" t="s">
        <v>15</v>
      </c>
      <c r="F488">
        <v>9</v>
      </c>
      <c r="G488">
        <v>500</v>
      </c>
      <c r="H488">
        <v>4500</v>
      </c>
    </row>
    <row r="489" spans="1:8" x14ac:dyDescent="0.25">
      <c r="A489">
        <v>485</v>
      </c>
      <c r="B489" s="1">
        <v>46400</v>
      </c>
      <c r="C489" t="s">
        <v>17</v>
      </c>
      <c r="D489" t="s">
        <v>18</v>
      </c>
      <c r="E489" t="s">
        <v>16</v>
      </c>
      <c r="F489">
        <v>6</v>
      </c>
      <c r="G489">
        <v>50</v>
      </c>
      <c r="H489">
        <v>300</v>
      </c>
    </row>
    <row r="490" spans="1:8" x14ac:dyDescent="0.25">
      <c r="A490">
        <v>486</v>
      </c>
      <c r="B490" s="1">
        <v>46401</v>
      </c>
      <c r="C490" t="s">
        <v>17</v>
      </c>
      <c r="D490" t="s">
        <v>12</v>
      </c>
      <c r="E490" t="s">
        <v>22</v>
      </c>
      <c r="F490">
        <v>7</v>
      </c>
      <c r="G490">
        <v>100</v>
      </c>
      <c r="H490">
        <v>700</v>
      </c>
    </row>
    <row r="491" spans="1:8" x14ac:dyDescent="0.25">
      <c r="A491">
        <v>487</v>
      </c>
      <c r="B491" s="1">
        <v>46402</v>
      </c>
      <c r="C491" t="s">
        <v>19</v>
      </c>
      <c r="D491" t="s">
        <v>27</v>
      </c>
      <c r="E491" t="s">
        <v>22</v>
      </c>
      <c r="F491">
        <v>5</v>
      </c>
      <c r="G491">
        <v>8000</v>
      </c>
      <c r="H491">
        <v>40000</v>
      </c>
    </row>
    <row r="492" spans="1:8" x14ac:dyDescent="0.25">
      <c r="A492">
        <v>488</v>
      </c>
      <c r="B492" s="1">
        <v>46403</v>
      </c>
      <c r="C492" t="s">
        <v>8</v>
      </c>
      <c r="D492" t="s">
        <v>12</v>
      </c>
      <c r="E492" t="s">
        <v>22</v>
      </c>
      <c r="F492">
        <v>9</v>
      </c>
      <c r="G492">
        <v>500</v>
      </c>
      <c r="H492">
        <v>4500</v>
      </c>
    </row>
    <row r="493" spans="1:8" x14ac:dyDescent="0.25">
      <c r="A493">
        <v>489</v>
      </c>
      <c r="B493" s="1">
        <v>46404</v>
      </c>
      <c r="C493" t="s">
        <v>14</v>
      </c>
      <c r="D493" t="s">
        <v>9</v>
      </c>
      <c r="E493" t="s">
        <v>13</v>
      </c>
      <c r="F493">
        <v>4</v>
      </c>
      <c r="G493">
        <v>600</v>
      </c>
      <c r="H493">
        <v>2400</v>
      </c>
    </row>
    <row r="494" spans="1:8" x14ac:dyDescent="0.25">
      <c r="A494">
        <v>490</v>
      </c>
      <c r="B494" s="1">
        <v>46405</v>
      </c>
      <c r="C494" t="s">
        <v>23</v>
      </c>
      <c r="D494" t="s">
        <v>27</v>
      </c>
      <c r="E494" t="s">
        <v>16</v>
      </c>
      <c r="F494">
        <v>5</v>
      </c>
      <c r="G494">
        <v>600</v>
      </c>
      <c r="H494">
        <v>3000</v>
      </c>
    </row>
    <row r="495" spans="1:8" x14ac:dyDescent="0.25">
      <c r="A495">
        <v>491</v>
      </c>
      <c r="B495" s="1">
        <v>46406</v>
      </c>
      <c r="C495" t="s">
        <v>21</v>
      </c>
      <c r="D495" t="s">
        <v>27</v>
      </c>
      <c r="E495" t="s">
        <v>20</v>
      </c>
      <c r="F495">
        <v>5</v>
      </c>
      <c r="G495">
        <v>100</v>
      </c>
      <c r="H495">
        <v>500</v>
      </c>
    </row>
    <row r="496" spans="1:8" x14ac:dyDescent="0.25">
      <c r="A496">
        <v>492</v>
      </c>
      <c r="B496" s="1">
        <v>46407</v>
      </c>
      <c r="C496" t="s">
        <v>23</v>
      </c>
      <c r="D496" t="s">
        <v>27</v>
      </c>
      <c r="E496" t="s">
        <v>22</v>
      </c>
      <c r="F496">
        <v>10</v>
      </c>
      <c r="G496">
        <v>100</v>
      </c>
      <c r="H496">
        <v>1000</v>
      </c>
    </row>
    <row r="497" spans="1:8" x14ac:dyDescent="0.25">
      <c r="A497">
        <v>493</v>
      </c>
      <c r="B497" s="1">
        <v>46408</v>
      </c>
      <c r="C497" t="s">
        <v>14</v>
      </c>
      <c r="D497" t="s">
        <v>12</v>
      </c>
      <c r="E497" t="s">
        <v>13</v>
      </c>
      <c r="F497">
        <v>4</v>
      </c>
      <c r="G497">
        <v>8000</v>
      </c>
      <c r="H497">
        <v>32000</v>
      </c>
    </row>
    <row r="498" spans="1:8" x14ac:dyDescent="0.25">
      <c r="A498">
        <v>494</v>
      </c>
      <c r="B498" s="1">
        <v>46409</v>
      </c>
      <c r="C498" t="s">
        <v>25</v>
      </c>
      <c r="D498" t="s">
        <v>9</v>
      </c>
      <c r="E498" t="s">
        <v>15</v>
      </c>
      <c r="F498">
        <v>2</v>
      </c>
      <c r="G498">
        <v>50</v>
      </c>
      <c r="H498">
        <v>100</v>
      </c>
    </row>
    <row r="499" spans="1:8" x14ac:dyDescent="0.25">
      <c r="A499">
        <v>495</v>
      </c>
      <c r="B499" s="1">
        <v>46410</v>
      </c>
      <c r="C499" t="s">
        <v>14</v>
      </c>
      <c r="D499" t="s">
        <v>9</v>
      </c>
      <c r="E499" t="s">
        <v>28</v>
      </c>
      <c r="F499">
        <v>3</v>
      </c>
      <c r="G499">
        <v>100</v>
      </c>
      <c r="H499">
        <v>300</v>
      </c>
    </row>
    <row r="500" spans="1:8" x14ac:dyDescent="0.25">
      <c r="A500">
        <v>496</v>
      </c>
      <c r="B500" s="1">
        <v>46411</v>
      </c>
      <c r="C500" t="s">
        <v>19</v>
      </c>
      <c r="D500" t="s">
        <v>18</v>
      </c>
      <c r="E500" t="s">
        <v>22</v>
      </c>
      <c r="F500">
        <v>1</v>
      </c>
      <c r="G500">
        <v>120</v>
      </c>
      <c r="H500">
        <v>120</v>
      </c>
    </row>
    <row r="501" spans="1:8" x14ac:dyDescent="0.25">
      <c r="A501">
        <v>497</v>
      </c>
      <c r="B501" s="1">
        <v>46412</v>
      </c>
      <c r="C501" t="s">
        <v>14</v>
      </c>
      <c r="D501" t="s">
        <v>12</v>
      </c>
      <c r="E501" t="s">
        <v>16</v>
      </c>
      <c r="F501">
        <v>1</v>
      </c>
      <c r="G501">
        <v>230</v>
      </c>
      <c r="H501">
        <v>230</v>
      </c>
    </row>
    <row r="502" spans="1:8" x14ac:dyDescent="0.25">
      <c r="A502">
        <v>498</v>
      </c>
      <c r="B502" s="1">
        <v>46413</v>
      </c>
      <c r="C502" t="s">
        <v>17</v>
      </c>
      <c r="D502" t="s">
        <v>12</v>
      </c>
      <c r="E502" t="s">
        <v>16</v>
      </c>
      <c r="F502">
        <v>9</v>
      </c>
      <c r="G502">
        <v>230</v>
      </c>
      <c r="H502">
        <v>2070</v>
      </c>
    </row>
    <row r="503" spans="1:8" x14ac:dyDescent="0.25">
      <c r="A503">
        <v>499</v>
      </c>
      <c r="B503" s="1">
        <v>46414</v>
      </c>
      <c r="C503" t="s">
        <v>8</v>
      </c>
      <c r="D503" t="s">
        <v>9</v>
      </c>
      <c r="E503" t="s">
        <v>15</v>
      </c>
      <c r="F503">
        <v>2</v>
      </c>
      <c r="G503">
        <v>230</v>
      </c>
      <c r="H503">
        <v>460</v>
      </c>
    </row>
    <row r="504" spans="1:8" x14ac:dyDescent="0.25">
      <c r="A504">
        <v>500</v>
      </c>
      <c r="B504" s="1">
        <v>46415</v>
      </c>
      <c r="C504" t="s">
        <v>19</v>
      </c>
      <c r="D504" t="s">
        <v>9</v>
      </c>
      <c r="E504" t="s">
        <v>16</v>
      </c>
      <c r="F504">
        <v>2</v>
      </c>
      <c r="G504">
        <v>500</v>
      </c>
      <c r="H504">
        <v>1000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579CE-8423-4555-94AA-3954A463900D}">
  <dimension ref="A4:L35"/>
  <sheetViews>
    <sheetView zoomScale="62" workbookViewId="0">
      <selection activeCell="E30" sqref="E30"/>
    </sheetView>
  </sheetViews>
  <sheetFormatPr defaultColWidth="32.28515625" defaultRowHeight="15" x14ac:dyDescent="0.25"/>
  <cols>
    <col min="1" max="1" width="19" bestFit="1" customWidth="1"/>
    <col min="2" max="2" width="20.7109375" bestFit="1" customWidth="1"/>
    <col min="4" max="4" width="19" bestFit="1" customWidth="1"/>
    <col min="5" max="5" width="20.7109375" bestFit="1" customWidth="1"/>
    <col min="11" max="11" width="19" bestFit="1" customWidth="1"/>
    <col min="12" max="12" width="14.85546875" bestFit="1" customWidth="1"/>
  </cols>
  <sheetData>
    <row r="4" spans="1:12" x14ac:dyDescent="0.25">
      <c r="A4" s="8" t="s">
        <v>45</v>
      </c>
      <c r="B4" s="9">
        <f>GETPIVOTDATA("Amount",$A$9)</f>
        <v>2620850</v>
      </c>
      <c r="D4" s="2" t="s">
        <v>29</v>
      </c>
      <c r="E4" t="s">
        <v>31</v>
      </c>
      <c r="K4" s="2" t="s">
        <v>29</v>
      </c>
      <c r="L4" t="s">
        <v>44</v>
      </c>
    </row>
    <row r="5" spans="1:12" x14ac:dyDescent="0.25">
      <c r="A5" s="8" t="s">
        <v>46</v>
      </c>
      <c r="B5" s="6">
        <f>GETPIVOTDATA("Qty",$K$4)</f>
        <v>2019</v>
      </c>
      <c r="D5" s="3" t="s">
        <v>32</v>
      </c>
      <c r="E5" s="5">
        <v>230570</v>
      </c>
      <c r="K5" s="3" t="s">
        <v>12</v>
      </c>
      <c r="L5" s="4">
        <v>667</v>
      </c>
    </row>
    <row r="6" spans="1:12" x14ac:dyDescent="0.25">
      <c r="D6" s="3" t="s">
        <v>33</v>
      </c>
      <c r="E6" s="5">
        <v>89480</v>
      </c>
      <c r="K6" s="3" t="s">
        <v>18</v>
      </c>
      <c r="L6" s="4">
        <v>682</v>
      </c>
    </row>
    <row r="7" spans="1:12" x14ac:dyDescent="0.25">
      <c r="D7" s="3" t="s">
        <v>34</v>
      </c>
      <c r="E7" s="5">
        <v>150260</v>
      </c>
      <c r="K7" s="3" t="s">
        <v>9</v>
      </c>
      <c r="L7" s="4">
        <v>670</v>
      </c>
    </row>
    <row r="8" spans="1:12" x14ac:dyDescent="0.25">
      <c r="D8" s="3" t="s">
        <v>35</v>
      </c>
      <c r="E8" s="5">
        <v>98900</v>
      </c>
      <c r="K8" s="3" t="s">
        <v>30</v>
      </c>
      <c r="L8" s="4">
        <v>2019</v>
      </c>
    </row>
    <row r="9" spans="1:12" x14ac:dyDescent="0.25">
      <c r="A9" s="2" t="s">
        <v>29</v>
      </c>
      <c r="B9" t="s">
        <v>31</v>
      </c>
      <c r="D9" s="3" t="s">
        <v>36</v>
      </c>
      <c r="E9" s="5">
        <v>169830</v>
      </c>
    </row>
    <row r="10" spans="1:12" x14ac:dyDescent="0.25">
      <c r="A10" s="3" t="s">
        <v>12</v>
      </c>
      <c r="B10" s="5">
        <v>779410</v>
      </c>
      <c r="D10" s="3" t="s">
        <v>37</v>
      </c>
      <c r="E10" s="5">
        <v>94070</v>
      </c>
    </row>
    <row r="11" spans="1:12" x14ac:dyDescent="0.25">
      <c r="A11" s="3" t="s">
        <v>18</v>
      </c>
      <c r="B11" s="5">
        <v>666900</v>
      </c>
      <c r="D11" s="3" t="s">
        <v>38</v>
      </c>
      <c r="E11" s="5">
        <v>275520</v>
      </c>
    </row>
    <row r="12" spans="1:12" x14ac:dyDescent="0.25">
      <c r="A12" s="3" t="s">
        <v>9</v>
      </c>
      <c r="B12" s="5">
        <v>1174540</v>
      </c>
      <c r="D12" s="3" t="s">
        <v>39</v>
      </c>
      <c r="E12" s="5">
        <v>358160</v>
      </c>
    </row>
    <row r="13" spans="1:12" x14ac:dyDescent="0.25">
      <c r="A13" s="3" t="s">
        <v>30</v>
      </c>
      <c r="B13" s="5">
        <v>2620850</v>
      </c>
      <c r="D13" s="3" t="s">
        <v>40</v>
      </c>
      <c r="E13" s="5">
        <v>280170</v>
      </c>
    </row>
    <row r="14" spans="1:12" x14ac:dyDescent="0.25">
      <c r="D14" s="3" t="s">
        <v>41</v>
      </c>
      <c r="E14" s="5">
        <v>242850</v>
      </c>
    </row>
    <row r="15" spans="1:12" x14ac:dyDescent="0.25">
      <c r="D15" s="3" t="s">
        <v>42</v>
      </c>
      <c r="E15" s="5">
        <v>216970</v>
      </c>
    </row>
    <row r="16" spans="1:12" x14ac:dyDescent="0.25">
      <c r="D16" s="3" t="s">
        <v>43</v>
      </c>
      <c r="E16" s="5">
        <v>414070</v>
      </c>
    </row>
    <row r="17" spans="1:5" x14ac:dyDescent="0.25">
      <c r="A17" s="10" t="s">
        <v>29</v>
      </c>
      <c r="B17" s="4" t="s">
        <v>44</v>
      </c>
      <c r="D17" s="3" t="s">
        <v>30</v>
      </c>
      <c r="E17" s="5">
        <v>2620850</v>
      </c>
    </row>
    <row r="18" spans="1:5" x14ac:dyDescent="0.25">
      <c r="A18" s="11" t="s">
        <v>12</v>
      </c>
      <c r="B18" s="4">
        <v>667</v>
      </c>
    </row>
    <row r="19" spans="1:5" x14ac:dyDescent="0.25">
      <c r="A19" s="11" t="s">
        <v>18</v>
      </c>
      <c r="B19" s="4">
        <v>682</v>
      </c>
    </row>
    <row r="20" spans="1:5" x14ac:dyDescent="0.25">
      <c r="A20" s="11" t="s">
        <v>9</v>
      </c>
      <c r="B20" s="4">
        <v>670</v>
      </c>
    </row>
    <row r="21" spans="1:5" x14ac:dyDescent="0.25">
      <c r="A21" s="11" t="s">
        <v>30</v>
      </c>
      <c r="B21" s="4">
        <v>2019</v>
      </c>
    </row>
    <row r="27" spans="1:5" x14ac:dyDescent="0.25">
      <c r="A27" s="2" t="s">
        <v>29</v>
      </c>
      <c r="B27" t="s">
        <v>31</v>
      </c>
    </row>
    <row r="28" spans="1:5" x14ac:dyDescent="0.25">
      <c r="A28" s="3" t="s">
        <v>28</v>
      </c>
      <c r="B28" s="5">
        <v>332960</v>
      </c>
    </row>
    <row r="29" spans="1:5" x14ac:dyDescent="0.25">
      <c r="A29" s="3" t="s">
        <v>16</v>
      </c>
      <c r="B29" s="5">
        <v>379200</v>
      </c>
    </row>
    <row r="30" spans="1:5" x14ac:dyDescent="0.25">
      <c r="A30" s="3" t="s">
        <v>13</v>
      </c>
      <c r="B30" s="5">
        <v>394760</v>
      </c>
    </row>
    <row r="31" spans="1:5" x14ac:dyDescent="0.25">
      <c r="A31" s="3" t="s">
        <v>20</v>
      </c>
      <c r="B31" s="5">
        <v>396790</v>
      </c>
    </row>
    <row r="32" spans="1:5" x14ac:dyDescent="0.25">
      <c r="A32" s="3" t="s">
        <v>22</v>
      </c>
      <c r="B32" s="5">
        <v>233300</v>
      </c>
    </row>
    <row r="33" spans="1:2" x14ac:dyDescent="0.25">
      <c r="A33" s="3" t="s">
        <v>15</v>
      </c>
      <c r="B33" s="5">
        <v>465690</v>
      </c>
    </row>
    <row r="34" spans="1:2" x14ac:dyDescent="0.25">
      <c r="A34" s="3" t="s">
        <v>10</v>
      </c>
      <c r="B34" s="5">
        <v>418150</v>
      </c>
    </row>
    <row r="35" spans="1:2" x14ac:dyDescent="0.25">
      <c r="A35" s="3" t="s">
        <v>30</v>
      </c>
      <c r="B35" s="5">
        <v>2620850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516E15-800D-42E2-909D-BCFF5AC5BB1F}">
  <dimension ref="B2"/>
  <sheetViews>
    <sheetView showGridLines="0" tabSelected="1" zoomScale="69" zoomScaleNormal="69" workbookViewId="0">
      <selection activeCell="U18" sqref="U18"/>
    </sheetView>
  </sheetViews>
  <sheetFormatPr defaultRowHeight="15" x14ac:dyDescent="0.25"/>
  <sheetData>
    <row r="2" spans="2:2" x14ac:dyDescent="0.25">
      <c r="B2" s="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c2064b714a0a786a59cfda85fef5a8de">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4ab52525d5bbb250778ff9666f668b7f"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F3B7B8B3-99E0-4B3C-8238-565A9C275D81}">
  <ds:schemaRefs>
    <ds:schemaRef ds:uri="http://schemas.microsoft.com/sharepoint/v3/contenttype/forms"/>
  </ds:schemaRefs>
</ds:datastoreItem>
</file>

<file path=customXml/itemProps2.xml><?xml version="1.0" encoding="utf-8"?>
<ds:datastoreItem xmlns:ds="http://schemas.openxmlformats.org/officeDocument/2006/customXml" ds:itemID="{614D5B9C-374E-47E9-9D75-8EC17796754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C891E3A-9825-4B15-91AC-4D8B9E448B65}">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RAW</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S.Mari Gopi</cp:lastModifiedBy>
  <cp:lastPrinted>2026-09-02T15:37:22Z</cp:lastPrinted>
  <dcterms:created xsi:type="dcterms:W3CDTF">2026-04-22T10:26:23Z</dcterms:created>
  <dcterms:modified xsi:type="dcterms:W3CDTF">2026-09-02T16:03:55Z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